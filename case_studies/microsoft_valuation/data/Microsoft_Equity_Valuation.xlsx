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Dashboard" sheetId="1" state="visible" r:id="rId1"/>
    <sheet xmlns:r="http://schemas.openxmlformats.org/officeDocument/2006/relationships" name="Historical Financials" sheetId="2" state="visible" r:id="rId2"/>
    <sheet xmlns:r="http://schemas.openxmlformats.org/officeDocument/2006/relationships" name="Scenario Valuations" sheetId="3" state="visible" r:id="rId3"/>
    <sheet xmlns:r="http://schemas.openxmlformats.org/officeDocument/2006/relationships" name="Forecast Inputs" sheetId="4" state="visible" r:id="rId4"/>
    <sheet xmlns:r="http://schemas.openxmlformats.org/officeDocument/2006/relationships" name="Scenario Inputs" sheetId="5" state="visible" r:id="rId5"/>
    <sheet xmlns:r="http://schemas.openxmlformats.org/officeDocument/2006/relationships" name="Market and WACC" sheetId="6" state="visible" r:id="rId6"/>
    <sheet xmlns:r="http://schemas.openxmlformats.org/officeDocument/2006/relationships" name="Bear DCF" sheetId="7" state="visible" r:id="rId7"/>
    <sheet xmlns:r="http://schemas.openxmlformats.org/officeDocument/2006/relationships" name="Base DCF" sheetId="8" state="visible" r:id="rId8"/>
    <sheet xmlns:r="http://schemas.openxmlformats.org/officeDocument/2006/relationships" name="Bull DCF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SEC Source Audit" sheetId="11" state="visible" r:id="rId11"/>
    <sheet xmlns:r="http://schemas.openxmlformats.org/officeDocument/2006/relationships" name="Accounting Reconciliation" sheetId="12" state="visible" r:id="rId12"/>
    <sheet xmlns:r="http://schemas.openxmlformats.org/officeDocument/2006/relationships" name="Methodology" sheetId="13" state="visible" r:id="rId13"/>
  </sheets>
  <definedNames>
    <definedName name="_xlnm._FilterDatabase" localSheetId="0" hidden="1">'Investment Dashboard'!$A$1:$B$11</definedName>
    <definedName name="_xlnm._FilterDatabase" localSheetId="1" hidden="1">'Historical Financials'!$A$1:$F$8</definedName>
    <definedName name="_xlnm._FilterDatabase" localSheetId="2" hidden="1">'Scenario Valuations'!$A$1:$G$4</definedName>
    <definedName name="_xlnm._FilterDatabase" localSheetId="3" hidden="1">'Forecast Inputs'!$A$1:$F$7</definedName>
    <definedName name="_xlnm._FilterDatabase" localSheetId="4" hidden="1">'Scenario Inputs'!$A$1:$D$4</definedName>
    <definedName name="_xlnm._FilterDatabase" localSheetId="5" hidden="1">'Market and WACC'!$A$1:$C$21</definedName>
    <definedName name="_xlnm._FilterDatabase" localSheetId="6" hidden="1">'Bear DCF'!$A$1:$F$26</definedName>
    <definedName name="_xlnm._FilterDatabase" localSheetId="7" hidden="1">'Base DCF'!$A$1:$F$26</definedName>
    <definedName name="_xlnm._FilterDatabase" localSheetId="8" hidden="1">'Bull DCF'!$A$1:$F$26</definedName>
    <definedName name="_xlnm._FilterDatabase" localSheetId="9" hidden="1">'Sensitivity'!$A$1:$F$6</definedName>
    <definedName name="_xlnm._FilterDatabase" localSheetId="10" hidden="1">'SEC Source Audit'!$A$1:$F$30</definedName>
    <definedName name="_xlnm._FilterDatabase" localSheetId="11" hidden="1">'Accounting Reconciliation'!$A$1:$C$8</definedName>
    <definedName name="_xlnm._FilterDatabase" localSheetId="12" hidden="1">'Methodology'!$A$1:$A$16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;[Red](#,##0.0);–"/>
    <numFmt numFmtId="165" formatCode="0.0%;[Red](0.0%);–"/>
    <numFmt numFmtId="166" formatCode="$#,##0.00;[Red]($#,##0.00);–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43247"/>
      <sz val="10"/>
    </font>
    <font>
      <name val="Aptos"/>
      <color rgb="000000FF"/>
      <sz val="10"/>
    </font>
    <font>
      <name val="Aptos"/>
      <color rgb="00008000"/>
      <sz val="10"/>
    </font>
    <font>
      <name val="Aptos Display"/>
      <b val="1"/>
      <color rgb="0017365D"/>
      <sz val="1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B"/>
      </patternFill>
    </fill>
    <fill>
      <patternFill patternType="solid">
        <fgColor rgb="00E8F2FF"/>
      </patternFill>
    </fill>
    <fill>
      <patternFill patternType="solid">
        <fgColor rgb="00D9EED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66" fontId="4" fillId="3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1" fontId="1" fillId="2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center" wrapText="1"/>
    </xf>
    <xf numFmtId="166" fontId="3" fillId="3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166" fontId="4" fillId="5" borderId="0" applyAlignment="1" pivotButton="0" quotePrefix="0" xfId="0">
      <alignment vertical="center" wrapText="1"/>
    </xf>
    <xf numFmtId="165" fontId="1" fillId="2" borderId="0" applyAlignment="1" pivotButton="0" quotePrefix="0" xfId="0">
      <alignment vertical="center" wrapText="1"/>
    </xf>
    <xf numFmtId="1" fontId="3" fillId="3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B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 ht="36" customHeight="1">
      <c r="A1" s="1" t="inlineStr">
        <is>
          <t>MICROSOFT | THE AI REINVESTMENT TEST</t>
        </is>
      </c>
      <c r="B1" s="2" t="n"/>
    </row>
    <row r="2">
      <c r="A2" s="3" t="inlineStr">
        <is>
          <t>Key Valuation Output</t>
        </is>
      </c>
      <c r="B2" s="3" t="inlineStr">
        <is>
          <t>Formula-Linked Result</t>
        </is>
      </c>
    </row>
    <row r="3">
      <c r="A3" s="4" t="inlineStr">
        <is>
          <t>Base Implied Price</t>
        </is>
      </c>
      <c r="B3" s="5">
        <f>'Base DCF'!B24</f>
        <v/>
      </c>
    </row>
    <row r="4">
      <c r="A4" s="3" t="inlineStr">
        <is>
          <t>Reference Share Price</t>
        </is>
      </c>
      <c r="B4" s="6">
        <f>'Market and WACC'!B2</f>
        <v/>
      </c>
    </row>
    <row r="5">
      <c r="A5" s="4" t="inlineStr">
        <is>
          <t>Base Upside / Downside</t>
        </is>
      </c>
      <c r="B5" s="7">
        <f>'Base DCF'!B25</f>
        <v/>
      </c>
    </row>
    <row r="6">
      <c r="A6" s="3" t="inlineStr">
        <is>
          <t>Calculated WACC</t>
        </is>
      </c>
      <c r="B6" s="8">
        <f>'Market and WACC'!B16</f>
        <v/>
      </c>
    </row>
    <row r="7">
      <c r="A7" s="4" t="inlineStr">
        <is>
          <t>Terminal Growth</t>
        </is>
      </c>
      <c r="B7" s="7">
        <f>'Market and WACC'!B17</f>
        <v/>
      </c>
    </row>
    <row r="8">
      <c r="A8" s="3" t="inlineStr">
        <is>
          <t>Terminal Value Weight</t>
        </is>
      </c>
      <c r="B8" s="8">
        <f>'Base DCF'!B26</f>
        <v/>
      </c>
    </row>
    <row r="9">
      <c r="A9" s="4" t="inlineStr">
        <is>
          <t>D&amp;A Accounting Status</t>
        </is>
      </c>
      <c r="B9" s="9" t="inlineStr">
        <is>
          <t>Depreciation-only input; total D&amp;A not reconciled</t>
        </is>
      </c>
    </row>
    <row r="10">
      <c r="A10" s="3" t="inlineStr">
        <is>
          <t>Research Question</t>
        </is>
      </c>
      <c r="B10" s="3" t="inlineStr">
        <is>
          <t>Can AI infrastructure investment generate sufficient returns?</t>
        </is>
      </c>
    </row>
    <row r="11">
      <c r="A11" s="4" t="inlineStr">
        <is>
          <t>Annual Report</t>
        </is>
      </c>
      <c r="B11" s="4" t="inlineStr">
        <is>
          <t>https://www.sec.gov/Archives/edgar/data/789019/000119312526323660/msft-20260630.htm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78B5"/>
    <outlinePr summaryBelow="1" summaryRight="1"/>
    <pageSetUpPr/>
  </sheetPr>
  <dimension ref="A1:F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6" customHeight="1">
      <c r="A1" s="2" t="inlineStr">
        <is>
          <t>Metric ($M)</t>
        </is>
      </c>
      <c r="B1" s="10" t="n">
        <v>2022</v>
      </c>
      <c r="C1" s="10" t="n">
        <v>2023</v>
      </c>
      <c r="D1" s="10" t="n">
        <v>2024</v>
      </c>
      <c r="E1" s="10" t="n">
        <v>2025</v>
      </c>
      <c r="F1" s="10" t="n">
        <v>2026</v>
      </c>
    </row>
    <row r="2">
      <c r="A2" s="3" t="inlineStr">
        <is>
          <t>Revenue</t>
        </is>
      </c>
      <c r="B2" s="11" t="n">
        <v>198270</v>
      </c>
      <c r="C2" s="11" t="n">
        <v>211915</v>
      </c>
      <c r="D2" s="11" t="n">
        <v>245122</v>
      </c>
      <c r="E2" s="11" t="n">
        <v>281724</v>
      </c>
      <c r="F2" s="11" t="n">
        <v>331839</v>
      </c>
    </row>
    <row r="3">
      <c r="A3" s="4" t="inlineStr">
        <is>
          <t>Operating Income</t>
        </is>
      </c>
      <c r="B3" s="12" t="n">
        <v>83383</v>
      </c>
      <c r="C3" s="12" t="n">
        <v>88523</v>
      </c>
      <c r="D3" s="12" t="n">
        <v>109433</v>
      </c>
      <c r="E3" s="12" t="n">
        <v>128528</v>
      </c>
      <c r="F3" s="12" t="n">
        <v>155237</v>
      </c>
    </row>
    <row r="4">
      <c r="A4" s="3" t="inlineStr">
        <is>
          <t>Net Income</t>
        </is>
      </c>
      <c r="B4" s="11" t="n">
        <v>72738</v>
      </c>
      <c r="C4" s="11" t="n">
        <v>72361</v>
      </c>
      <c r="D4" s="11" t="n">
        <v>88136</v>
      </c>
      <c r="E4" s="11" t="n">
        <v>101832</v>
      </c>
      <c r="F4" s="11" t="n">
        <v>133749</v>
      </c>
    </row>
    <row r="5">
      <c r="A5" s="4" t="inlineStr">
        <is>
          <t>Operating Cash Flow</t>
        </is>
      </c>
      <c r="B5" s="12" t="n">
        <v>89035</v>
      </c>
      <c r="C5" s="12" t="n">
        <v>87582</v>
      </c>
      <c r="D5" s="12" t="n">
        <v>118548</v>
      </c>
      <c r="E5" s="12" t="n">
        <v>136162</v>
      </c>
      <c r="F5" s="12" t="n">
        <v>182935</v>
      </c>
    </row>
    <row r="6">
      <c r="A6" s="3" t="inlineStr">
        <is>
          <t>Cash CapEx</t>
        </is>
      </c>
      <c r="B6" s="11" t="n">
        <v>23886</v>
      </c>
      <c r="C6" s="11" t="n">
        <v>28107</v>
      </c>
      <c r="D6" s="11" t="n">
        <v>44477</v>
      </c>
      <c r="E6" s="11" t="n">
        <v>64551</v>
      </c>
      <c r="F6" s="11" t="n">
        <v>115948</v>
      </c>
    </row>
    <row r="7">
      <c r="A7" s="4" t="inlineStr">
        <is>
          <t>Free Cash Flow</t>
        </is>
      </c>
      <c r="B7" s="12" t="n">
        <v>65149</v>
      </c>
      <c r="C7" s="12" t="n">
        <v>59475</v>
      </c>
      <c r="D7" s="12" t="n">
        <v>74071</v>
      </c>
      <c r="E7" s="12" t="n">
        <v>71611</v>
      </c>
      <c r="F7" s="12" t="n">
        <v>66987</v>
      </c>
    </row>
    <row r="8">
      <c r="A8" s="3" t="inlineStr">
        <is>
          <t>D&amp;A model input (FY2026 only)</t>
        </is>
      </c>
      <c r="B8" s="3" t="n"/>
      <c r="C8" s="3" t="n"/>
      <c r="D8" s="3" t="n"/>
      <c r="E8" s="3" t="n"/>
      <c r="F8" s="11" t="n">
        <v>34300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5" customWidth="1" min="4" max="4"/>
    <col width="29" customWidth="1" min="5" max="5"/>
    <col width="26" customWidth="1" min="6" max="6"/>
    <col width="26" customWidth="1" min="7" max="7"/>
  </cols>
  <sheetData>
    <row r="1" ht="36" customHeight="1">
      <c r="A1" s="2" t="inlineStr">
        <is>
          <t>Scenario</t>
        </is>
      </c>
      <c r="B1" s="2" t="inlineStr">
        <is>
          <t>Implied Price</t>
        </is>
      </c>
      <c r="C1" s="2" t="inlineStr">
        <is>
          <t>Reference Price</t>
        </is>
      </c>
      <c r="D1" s="2" t="inlineStr">
        <is>
          <t>Upside / Downside</t>
        </is>
      </c>
      <c r="E1" s="2" t="inlineStr">
        <is>
          <t>Enterprise Value ($M)</t>
        </is>
      </c>
      <c r="F1" s="2" t="inlineStr">
        <is>
          <t>Equity Value ($M)</t>
        </is>
      </c>
      <c r="G1" s="2" t="inlineStr">
        <is>
          <t>PV Terminal Weight</t>
        </is>
      </c>
    </row>
    <row r="2">
      <c r="A2" s="3" t="inlineStr">
        <is>
          <t>Bear</t>
        </is>
      </c>
      <c r="B2" s="6">
        <f>'Bear DCF'!B24</f>
        <v/>
      </c>
      <c r="C2" s="6">
        <f>'Market and WACC'!B2</f>
        <v/>
      </c>
      <c r="D2" s="8">
        <f>'Bear DCF'!B25</f>
        <v/>
      </c>
      <c r="E2" s="13">
        <f>'Bear DCF'!B22</f>
        <v/>
      </c>
      <c r="F2" s="13">
        <f>'Bear DCF'!B23</f>
        <v/>
      </c>
      <c r="G2" s="8">
        <f>'Bear DCF'!B26</f>
        <v/>
      </c>
    </row>
    <row r="3">
      <c r="A3" s="4" t="inlineStr">
        <is>
          <t>Base</t>
        </is>
      </c>
      <c r="B3" s="5">
        <f>'Base DCF'!B24</f>
        <v/>
      </c>
      <c r="C3" s="5">
        <f>'Market and WACC'!B2</f>
        <v/>
      </c>
      <c r="D3" s="7">
        <f>'Base DCF'!B25</f>
        <v/>
      </c>
      <c r="E3" s="14">
        <f>'Base DCF'!B22</f>
        <v/>
      </c>
      <c r="F3" s="14">
        <f>'Base DCF'!B23</f>
        <v/>
      </c>
      <c r="G3" s="7">
        <f>'Base DCF'!B26</f>
        <v/>
      </c>
    </row>
    <row r="4">
      <c r="A4" s="3" t="inlineStr">
        <is>
          <t>Bull</t>
        </is>
      </c>
      <c r="B4" s="6">
        <f>'Bull DCF'!B24</f>
        <v/>
      </c>
      <c r="C4" s="6">
        <f>'Market and WACC'!B2</f>
        <v/>
      </c>
      <c r="D4" s="8">
        <f>'Bull DCF'!B25</f>
        <v/>
      </c>
      <c r="E4" s="13">
        <f>'Bull DCF'!B22</f>
        <v/>
      </c>
      <c r="F4" s="13">
        <f>'Bull DCF'!B23</f>
        <v/>
      </c>
      <c r="G4" s="8">
        <f>'Bull DCF'!B26</f>
        <v/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6" customHeight="1">
      <c r="A1" s="2" t="inlineStr">
        <is>
          <t>Forecast Driver</t>
        </is>
      </c>
      <c r="B1" s="10" t="n">
        <v>2027</v>
      </c>
      <c r="C1" s="10" t="n">
        <v>2028</v>
      </c>
      <c r="D1" s="10" t="n">
        <v>2029</v>
      </c>
      <c r="E1" s="10" t="n">
        <v>2030</v>
      </c>
      <c r="F1" s="10" t="n">
        <v>2031</v>
      </c>
    </row>
    <row r="2">
      <c r="A2" s="3" t="inlineStr">
        <is>
          <t>Revenue Growth</t>
        </is>
      </c>
      <c r="B2" s="15" t="n">
        <v>0.165434787238574</v>
      </c>
      <c r="C2" s="15" t="n">
        <v>0.1512038377986966</v>
      </c>
      <c r="D2" s="15" t="n">
        <v>0.1369728883588193</v>
      </c>
      <c r="E2" s="15" t="n">
        <v>0.122741938918942</v>
      </c>
      <c r="F2" s="15" t="n">
        <v>0.1085109894790647</v>
      </c>
    </row>
    <row r="3">
      <c r="A3" s="4" t="inlineStr">
        <is>
          <t>EBIT Margin</t>
        </is>
      </c>
      <c r="B3" s="15" t="n">
        <v>0.4578081840892722</v>
      </c>
      <c r="C3" s="15" t="n">
        <v>0.4558081840892722</v>
      </c>
      <c r="D3" s="15" t="n">
        <v>0.4558081840892722</v>
      </c>
      <c r="E3" s="15" t="n">
        <v>0.4578081840892722</v>
      </c>
      <c r="F3" s="15" t="n">
        <v>0.4598081840892722</v>
      </c>
    </row>
    <row r="4">
      <c r="A4" s="3" t="inlineStr">
        <is>
          <t>CapEx / Revenue</t>
        </is>
      </c>
      <c r="B4" s="15" t="n">
        <v>0.3703750312651617</v>
      </c>
      <c r="C4" s="15" t="n">
        <v>0.3494104068539262</v>
      </c>
      <c r="D4" s="15" t="n">
        <v>0.3179634702370728</v>
      </c>
      <c r="E4" s="15" t="n">
        <v>0.2830224295516802</v>
      </c>
      <c r="F4" s="15" t="n">
        <v>0.2515754929348268</v>
      </c>
    </row>
    <row r="5">
      <c r="A5" s="4" t="inlineStr">
        <is>
          <t>D&amp;A / Revenue</t>
        </is>
      </c>
      <c r="B5" s="15" t="n">
        <v>0.1136997158260482</v>
      </c>
      <c r="C5" s="15" t="n">
        <v>0.1219687860679426</v>
      </c>
      <c r="D5" s="15" t="n">
        <v>0.1271369549691266</v>
      </c>
      <c r="E5" s="15" t="n">
        <v>0.1271369549691266</v>
      </c>
      <c r="F5" s="15" t="n">
        <v>0.1240360536284162</v>
      </c>
    </row>
    <row r="6">
      <c r="A6" s="3" t="inlineStr">
        <is>
          <t>Tax Rate</t>
        </is>
      </c>
      <c r="B6" s="15" t="n">
        <v>0.21</v>
      </c>
      <c r="C6" s="15" t="n">
        <v>0.21</v>
      </c>
      <c r="D6" s="15" t="n">
        <v>0.21</v>
      </c>
      <c r="E6" s="15" t="n">
        <v>0.21</v>
      </c>
      <c r="F6" s="15" t="n">
        <v>0.21</v>
      </c>
    </row>
    <row r="7">
      <c r="A7" s="4" t="inlineStr">
        <is>
          <t>Incremental NWC Ratio</t>
        </is>
      </c>
      <c r="B7" s="15" t="n">
        <v>0.02</v>
      </c>
      <c r="C7" s="15" t="n">
        <v>0.02</v>
      </c>
      <c r="D7" s="15" t="n">
        <v>0.02</v>
      </c>
      <c r="E7" s="15" t="n">
        <v>0.02</v>
      </c>
      <c r="F7" s="15" t="n">
        <v>0.02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3" customWidth="1" min="4" max="4"/>
  </cols>
  <sheetData>
    <row r="1" ht="36" customHeight="1">
      <c r="A1" s="2" t="inlineStr">
        <is>
          <t>Scenario</t>
        </is>
      </c>
      <c r="B1" s="2" t="inlineStr">
        <is>
          <t>Revenue Growth Adjustment</t>
        </is>
      </c>
      <c r="C1" s="2" t="inlineStr">
        <is>
          <t>EBIT Margin Adjustment</t>
        </is>
      </c>
      <c r="D1" s="2" t="inlineStr">
        <is>
          <t>CapEx / Revenue Adjustment</t>
        </is>
      </c>
    </row>
    <row r="2">
      <c r="A2" s="3" t="inlineStr">
        <is>
          <t>Bear</t>
        </is>
      </c>
      <c r="B2" s="15" t="n">
        <v>-0.035</v>
      </c>
      <c r="C2" s="15" t="n">
        <v>-0.025</v>
      </c>
      <c r="D2" s="15" t="n">
        <v>0.025</v>
      </c>
    </row>
    <row r="3">
      <c r="A3" s="4" t="inlineStr">
        <is>
          <t>Base</t>
        </is>
      </c>
      <c r="B3" s="15" t="n">
        <v>0</v>
      </c>
      <c r="C3" s="15" t="n">
        <v>0</v>
      </c>
      <c r="D3" s="15" t="n">
        <v>0</v>
      </c>
    </row>
    <row r="4">
      <c r="A4" s="3" t="inlineStr">
        <is>
          <t>Bull</t>
        </is>
      </c>
      <c r="B4" s="15" t="n">
        <v>0.025</v>
      </c>
      <c r="C4" s="15" t="n">
        <v>0.02</v>
      </c>
      <c r="D4" s="15" t="n">
        <v>-0.025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C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4" customWidth="1" min="2" max="2"/>
    <col width="78" customWidth="1" min="3" max="3"/>
  </cols>
  <sheetData>
    <row r="1" ht="36" customHeight="1">
      <c r="A1" s="2" t="inlineStr">
        <is>
          <t>Capital Structure / Cost of Capital</t>
        </is>
      </c>
      <c r="B1" s="2" t="inlineStr">
        <is>
          <t>Value</t>
        </is>
      </c>
      <c r="C1" s="2" t="inlineStr">
        <is>
          <t>Source / Methodology</t>
        </is>
      </c>
    </row>
    <row r="2">
      <c r="A2" s="3" t="inlineStr">
        <is>
          <t>Reference Price ($/share)</t>
        </is>
      </c>
      <c r="B2" s="16" t="n">
        <v>522.61</v>
      </c>
      <c r="C2" s="3" t="inlineStr">
        <is>
          <t>Yahoo Finance market snapshot</t>
        </is>
      </c>
    </row>
    <row r="3">
      <c r="A3" s="4" t="inlineStr">
        <is>
          <t>Shares Outstanding (millions)</t>
        </is>
      </c>
      <c r="B3" s="12" t="n">
        <v>7425.545491</v>
      </c>
      <c r="C3" s="4" t="inlineStr">
        <is>
          <t>Yahoo Finance market snapshot</t>
        </is>
      </c>
    </row>
    <row r="4">
      <c r="A4" s="3" t="inlineStr">
        <is>
          <t>Cash ($M)</t>
        </is>
      </c>
      <c r="B4" s="11" t="n">
        <v>20935</v>
      </c>
      <c r="C4" s="3" t="inlineStr">
        <is>
          <t>SEC FY2026 Form 10-K</t>
        </is>
      </c>
    </row>
    <row r="5">
      <c r="A5" s="4" t="inlineStr">
        <is>
          <t>Short-Term Investments ($M)</t>
        </is>
      </c>
      <c r="B5" s="12" t="n">
        <v>55908</v>
      </c>
      <c r="C5" s="4" t="inlineStr">
        <is>
          <t>SEC FY2026 Form 10-K</t>
        </is>
      </c>
    </row>
    <row r="6">
      <c r="A6" s="3" t="inlineStr">
        <is>
          <t>Current Financial Debt ($M)</t>
        </is>
      </c>
      <c r="B6" s="11" t="n">
        <v>9227</v>
      </c>
      <c r="C6" s="3" t="inlineStr">
        <is>
          <t>SEC FY2026 Form 10-K</t>
        </is>
      </c>
    </row>
    <row r="7">
      <c r="A7" s="4" t="inlineStr">
        <is>
          <t>Long-Term Financial Debt ($M)</t>
        </is>
      </c>
      <c r="B7" s="12" t="n">
        <v>31067</v>
      </c>
      <c r="C7" s="4" t="inlineStr">
        <is>
          <t>SEC FY2026 Form 10-K</t>
        </is>
      </c>
    </row>
    <row r="8">
      <c r="A8" s="3" t="inlineStr">
        <is>
          <t>Total Financial Debt ($M)</t>
        </is>
      </c>
      <c r="B8" s="13">
        <f>B6+B7</f>
        <v/>
      </c>
      <c r="C8" s="3" t="inlineStr">
        <is>
          <t>Current plus long-term financial debt</t>
        </is>
      </c>
    </row>
    <row r="9">
      <c r="A9" s="4" t="inlineStr">
        <is>
          <t>Market Equity Capitalization ($M)</t>
        </is>
      </c>
      <c r="B9" s="14">
        <f>B2*B3</f>
        <v/>
      </c>
      <c r="C9" s="4" t="inlineStr">
        <is>
          <t>Price multiplied by shares</t>
        </is>
      </c>
    </row>
    <row r="10">
      <c r="A10" s="3" t="inlineStr">
        <is>
          <t>Risk-Free Rate</t>
        </is>
      </c>
      <c r="B10" s="15" t="n">
        <v>0.041</v>
      </c>
      <c r="C10" s="3" t="inlineStr">
        <is>
          <t>Illustrative analyst assumption</t>
        </is>
      </c>
    </row>
    <row r="11">
      <c r="A11" s="4" t="inlineStr">
        <is>
          <t>Equity Risk Premium</t>
        </is>
      </c>
      <c r="B11" s="15" t="n">
        <v>0.05</v>
      </c>
      <c r="C11" s="4" t="inlineStr">
        <is>
          <t>Illustrative analyst assumption</t>
        </is>
      </c>
    </row>
    <row r="12">
      <c r="A12" s="3" t="inlineStr">
        <is>
          <t>Levered Equity Beta</t>
        </is>
      </c>
      <c r="B12" s="17" t="n">
        <v>0.95</v>
      </c>
      <c r="C12" s="3" t="inlineStr">
        <is>
          <t>Illustrative analyst assumption</t>
        </is>
      </c>
    </row>
    <row r="13">
      <c r="A13" s="4" t="inlineStr">
        <is>
          <t>Pre-Tax Cost of Debt</t>
        </is>
      </c>
      <c r="B13" s="15" t="n">
        <v>0.048</v>
      </c>
      <c r="C13" s="4" t="inlineStr">
        <is>
          <t>Illustrative analyst assumption</t>
        </is>
      </c>
    </row>
    <row r="14">
      <c r="A14" s="3" t="inlineStr">
        <is>
          <t>Marginal Tax Rate</t>
        </is>
      </c>
      <c r="B14" s="15" t="n">
        <v>0.21</v>
      </c>
      <c r="C14" s="3" t="inlineStr">
        <is>
          <t>Illustrative tax assumption</t>
        </is>
      </c>
    </row>
    <row r="15">
      <c r="A15" s="4" t="inlineStr">
        <is>
          <t>Cost of Equity</t>
        </is>
      </c>
      <c r="B15" s="7">
        <f>B10+B11*B12</f>
        <v/>
      </c>
      <c r="C15" s="4" t="inlineStr">
        <is>
          <t>CAPM</t>
        </is>
      </c>
    </row>
    <row r="16">
      <c r="A16" s="3" t="inlineStr">
        <is>
          <t>WACC</t>
        </is>
      </c>
      <c r="B16" s="8">
        <f>B9/(B9+B8)*B15+B8/(B9+B8)*B13*(1-B14)</f>
        <v/>
      </c>
      <c r="C16" s="3" t="inlineStr">
        <is>
          <t>Market-value weighted cost of capital</t>
        </is>
      </c>
    </row>
    <row r="17">
      <c r="A17" s="4" t="inlineStr">
        <is>
          <t>Terminal Growth</t>
        </is>
      </c>
      <c r="B17" s="15" t="n">
        <v>0.025</v>
      </c>
      <c r="C17" s="4" t="inlineStr">
        <is>
          <t>Long-term nominal growth assumption</t>
        </is>
      </c>
    </row>
    <row r="18">
      <c r="A18" s="3" t="inlineStr">
        <is>
          <t>Valuation Timestamp UTC</t>
        </is>
      </c>
      <c r="B18" s="3" t="inlineStr">
        <is>
          <t>2026-10-09T03:33:36+00:00</t>
        </is>
      </c>
      <c r="C18" s="3" t="inlineStr">
        <is>
          <t>Snapshot timestamp</t>
        </is>
      </c>
    </row>
    <row r="19">
      <c r="A19" s="4" t="inlineStr">
        <is>
          <t>Finance Lease Liabilities ($M)</t>
        </is>
      </c>
      <c r="B19" s="12" t="n">
        <v>66594</v>
      </c>
      <c r="C19" s="4" t="inlineStr">
        <is>
          <t>FY2026 10-K lease disclosure</t>
        </is>
      </c>
    </row>
    <row r="20">
      <c r="A20" s="3" t="inlineStr">
        <is>
          <t>Operating Lease Liabilities ($M)</t>
        </is>
      </c>
      <c r="B20" s="11" t="n">
        <v>21925</v>
      </c>
      <c r="C20" s="3" t="inlineStr">
        <is>
          <t>FY2026 10-K lease disclosure</t>
        </is>
      </c>
    </row>
    <row r="21">
      <c r="A21" s="4" t="inlineStr">
        <is>
          <t>New Finance Lease ROU Assets ($M)</t>
        </is>
      </c>
      <c r="B21" s="12" t="n">
        <v>24608</v>
      </c>
      <c r="C21" s="4" t="inlineStr">
        <is>
          <t>Noncash lease additions</t>
        </is>
      </c>
    </row>
  </sheetData>
  <autoFilter ref="A1:C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504D"/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6" customHeight="1">
      <c r="A1" s="2" t="inlineStr">
        <is>
          <t>Metric ($M unless stated)</t>
        </is>
      </c>
      <c r="B1" s="10" t="n">
        <v>2027</v>
      </c>
      <c r="C1" s="10" t="n">
        <v>2028</v>
      </c>
      <c r="D1" s="10" t="n">
        <v>2029</v>
      </c>
      <c r="E1" s="10" t="n">
        <v>2030</v>
      </c>
      <c r="F1" s="10" t="n">
        <v>2031</v>
      </c>
    </row>
    <row r="2">
      <c r="A2" s="3" t="inlineStr">
        <is>
          <t>Revenue</t>
        </is>
      </c>
      <c r="B2" s="13">
        <f>'Historical Financials'!F2*(1+B3)</f>
        <v/>
      </c>
      <c r="C2" s="13">
        <f>B2*(1+C3)</f>
        <v/>
      </c>
      <c r="D2" s="13">
        <f>C2*(1+D3)</f>
        <v/>
      </c>
      <c r="E2" s="13">
        <f>D2*(1+E3)</f>
        <v/>
      </c>
      <c r="F2" s="13">
        <f>E2*(1+F3)</f>
        <v/>
      </c>
    </row>
    <row r="3">
      <c r="A3" s="4" t="inlineStr">
        <is>
          <t>Revenue Growth</t>
        </is>
      </c>
      <c r="B3" s="7">
        <f>'Forecast Inputs'!B2+'Scenario Inputs'!$B$2</f>
        <v/>
      </c>
      <c r="C3" s="7">
        <f>'Forecast Inputs'!C2+'Scenario Inputs'!$B$2</f>
        <v/>
      </c>
      <c r="D3" s="7">
        <f>'Forecast Inputs'!D2+'Scenario Inputs'!$B$2</f>
        <v/>
      </c>
      <c r="E3" s="7">
        <f>'Forecast Inputs'!E2+'Scenario Inputs'!$B$2</f>
        <v/>
      </c>
      <c r="F3" s="7">
        <f>'Forecast Inputs'!F2+'Scenario Inputs'!$B$2</f>
        <v/>
      </c>
    </row>
    <row r="4">
      <c r="A4" s="3" t="inlineStr">
        <is>
          <t>EBIT Margin</t>
        </is>
      </c>
      <c r="B4" s="8">
        <f>'Forecast Inputs'!B3+'Scenario Inputs'!$C$2</f>
        <v/>
      </c>
      <c r="C4" s="8">
        <f>'Forecast Inputs'!C3+'Scenario Inputs'!$C$2</f>
        <v/>
      </c>
      <c r="D4" s="8">
        <f>'Forecast Inputs'!D3+'Scenario Inputs'!$C$2</f>
        <v/>
      </c>
      <c r="E4" s="8">
        <f>'Forecast Inputs'!E3+'Scenario Inputs'!$C$2</f>
        <v/>
      </c>
      <c r="F4" s="8">
        <f>'Forecast Inputs'!F3+'Scenario Inputs'!$C$2</f>
        <v/>
      </c>
    </row>
    <row r="5">
      <c r="A5" s="4" t="inlineStr">
        <is>
          <t>EBIT</t>
        </is>
      </c>
      <c r="B5" s="14">
        <f>B2*B4</f>
        <v/>
      </c>
      <c r="C5" s="14">
        <f>C2*C4</f>
        <v/>
      </c>
      <c r="D5" s="14">
        <f>D2*D4</f>
        <v/>
      </c>
      <c r="E5" s="14">
        <f>E2*E4</f>
        <v/>
      </c>
      <c r="F5" s="14">
        <f>F2*F4</f>
        <v/>
      </c>
    </row>
    <row r="6">
      <c r="A6" s="3" t="inlineStr">
        <is>
          <t>Tax Rate</t>
        </is>
      </c>
      <c r="B6" s="8">
        <f>'Forecast Inputs'!B6</f>
        <v/>
      </c>
      <c r="C6" s="8">
        <f>'Forecast Inputs'!C6</f>
        <v/>
      </c>
      <c r="D6" s="8">
        <f>'Forecast Inputs'!D6</f>
        <v/>
      </c>
      <c r="E6" s="8">
        <f>'Forecast Inputs'!E6</f>
        <v/>
      </c>
      <c r="F6" s="8">
        <f>'Forecast Inputs'!F6</f>
        <v/>
      </c>
    </row>
    <row r="7">
      <c r="A7" s="4" t="inlineStr">
        <is>
          <t>NOPAT</t>
        </is>
      </c>
      <c r="B7" s="14">
        <f>B5*(1-B6)</f>
        <v/>
      </c>
      <c r="C7" s="14">
        <f>C5*(1-C6)</f>
        <v/>
      </c>
      <c r="D7" s="14">
        <f>D5*(1-D6)</f>
        <v/>
      </c>
      <c r="E7" s="14">
        <f>E5*(1-E6)</f>
        <v/>
      </c>
      <c r="F7" s="14">
        <f>F5*(1-F6)</f>
        <v/>
      </c>
    </row>
    <row r="8">
      <c r="A8" s="3" t="inlineStr">
        <is>
          <t>D&amp;A / Revenue</t>
        </is>
      </c>
      <c r="B8" s="8">
        <f>'Forecast Inputs'!B5</f>
        <v/>
      </c>
      <c r="C8" s="8">
        <f>'Forecast Inputs'!C5</f>
        <v/>
      </c>
      <c r="D8" s="8">
        <f>'Forecast Inputs'!D5</f>
        <v/>
      </c>
      <c r="E8" s="8">
        <f>'Forecast Inputs'!E5</f>
        <v/>
      </c>
      <c r="F8" s="8">
        <f>'Forecast Inputs'!F5</f>
        <v/>
      </c>
    </row>
    <row r="9">
      <c r="A9" s="4" t="inlineStr">
        <is>
          <t>D&amp;A</t>
        </is>
      </c>
      <c r="B9" s="14">
        <f>B2*B8</f>
        <v/>
      </c>
      <c r="C9" s="14">
        <f>C2*C8</f>
        <v/>
      </c>
      <c r="D9" s="14">
        <f>D2*D8</f>
        <v/>
      </c>
      <c r="E9" s="14">
        <f>E2*E8</f>
        <v/>
      </c>
      <c r="F9" s="14">
        <f>F2*F8</f>
        <v/>
      </c>
    </row>
    <row r="10">
      <c r="A10" s="3" t="inlineStr">
        <is>
          <t>CapEx / Revenue</t>
        </is>
      </c>
      <c r="B10" s="8">
        <f>'Forecast Inputs'!B4+'Scenario Inputs'!$D$2</f>
        <v/>
      </c>
      <c r="C10" s="8">
        <f>'Forecast Inputs'!C4+'Scenario Inputs'!$D$2</f>
        <v/>
      </c>
      <c r="D10" s="8">
        <f>'Forecast Inputs'!D4+'Scenario Inputs'!$D$2</f>
        <v/>
      </c>
      <c r="E10" s="8">
        <f>'Forecast Inputs'!E4+'Scenario Inputs'!$D$2</f>
        <v/>
      </c>
      <c r="F10" s="8">
        <f>'Forecast Inputs'!F4+'Scenario Inputs'!$D$2</f>
        <v/>
      </c>
    </row>
    <row r="11">
      <c r="A11" s="4" t="inlineStr">
        <is>
          <t>Cash CapEx</t>
        </is>
      </c>
      <c r="B11" s="14">
        <f>B2*B10</f>
        <v/>
      </c>
      <c r="C11" s="14">
        <f>C2*C10</f>
        <v/>
      </c>
      <c r="D11" s="14">
        <f>D2*D10</f>
        <v/>
      </c>
      <c r="E11" s="14">
        <f>E2*E10</f>
        <v/>
      </c>
      <c r="F11" s="14">
        <f>F2*F10</f>
        <v/>
      </c>
    </row>
    <row r="12">
      <c r="A12" s="3" t="inlineStr">
        <is>
          <t>Incremental NWC Ratio</t>
        </is>
      </c>
      <c r="B12" s="8">
        <f>'Forecast Inputs'!B7</f>
        <v/>
      </c>
      <c r="C12" s="8">
        <f>'Forecast Inputs'!C7</f>
        <v/>
      </c>
      <c r="D12" s="8">
        <f>'Forecast Inputs'!D7</f>
        <v/>
      </c>
      <c r="E12" s="8">
        <f>'Forecast Inputs'!E7</f>
        <v/>
      </c>
      <c r="F12" s="8">
        <f>'Forecast Inputs'!F7</f>
        <v/>
      </c>
    </row>
    <row r="13">
      <c r="A13" s="4" t="inlineStr">
        <is>
          <t>Change NWC</t>
        </is>
      </c>
      <c r="B13" s="14">
        <f>(B2-'Historical Financials'!F2)*B12</f>
        <v/>
      </c>
      <c r="C13" s="14">
        <f>(C2-B2)*C12</f>
        <v/>
      </c>
      <c r="D13" s="14">
        <f>(D2-C2)*D12</f>
        <v/>
      </c>
      <c r="E13" s="14">
        <f>(E2-D2)*E12</f>
        <v/>
      </c>
      <c r="F13" s="14">
        <f>(F2-E2)*F12</f>
        <v/>
      </c>
    </row>
    <row r="14">
      <c r="A14" s="3" t="inlineStr">
        <is>
          <t>FCFF</t>
        </is>
      </c>
      <c r="B14" s="13">
        <f>B7+B9-B11-B13</f>
        <v/>
      </c>
      <c r="C14" s="13">
        <f>C7+C9-C11-C13</f>
        <v/>
      </c>
      <c r="D14" s="13">
        <f>D7+D9-D11-D13</f>
        <v/>
      </c>
      <c r="E14" s="13">
        <f>E7+E9-E11-E13</f>
        <v/>
      </c>
      <c r="F14" s="13">
        <f>F7+F9-F11-F13</f>
        <v/>
      </c>
    </row>
    <row r="15">
      <c r="A15" s="4" t="inlineStr">
        <is>
          <t>Discount Factor</t>
        </is>
      </c>
      <c r="B15" s="7">
        <f>1/(1+'Market and WACC'!$B$16)^1</f>
        <v/>
      </c>
      <c r="C15" s="7">
        <f>1/(1+'Market and WACC'!$B$16)^2</f>
        <v/>
      </c>
      <c r="D15" s="7">
        <f>1/(1+'Market and WACC'!$B$16)^3</f>
        <v/>
      </c>
      <c r="E15" s="7">
        <f>1/(1+'Market and WACC'!$B$16)^4</f>
        <v/>
      </c>
      <c r="F15" s="7">
        <f>1/(1+'Market and WACC'!$B$16)^5</f>
        <v/>
      </c>
    </row>
    <row r="16">
      <c r="A16" s="3" t="inlineStr">
        <is>
          <t>PV FCFF</t>
        </is>
      </c>
      <c r="B16" s="13">
        <f>B14*B15</f>
        <v/>
      </c>
      <c r="C16" s="13">
        <f>C14*C15</f>
        <v/>
      </c>
      <c r="D16" s="13">
        <f>D14*D15</f>
        <v/>
      </c>
      <c r="E16" s="13">
        <f>E14*E15</f>
        <v/>
      </c>
      <c r="F16" s="13">
        <f>F14*F15</f>
        <v/>
      </c>
    </row>
    <row r="17">
      <c r="A17" s="4" t="n"/>
      <c r="B17" s="4" t="n"/>
      <c r="C17" s="4" t="n"/>
      <c r="D17" s="4" t="n"/>
      <c r="E17" s="4" t="n"/>
      <c r="F17" s="4" t="n"/>
    </row>
    <row r="18">
      <c r="A18" s="3" t="inlineStr">
        <is>
          <t>PV Forecast FCFF</t>
        </is>
      </c>
      <c r="B18" s="13">
        <f>SUM(B16:F16)</f>
        <v/>
      </c>
      <c r="C18" s="3" t="n"/>
      <c r="D18" s="3" t="n"/>
      <c r="E18" s="3" t="n"/>
      <c r="F18" s="3" t="n"/>
    </row>
    <row r="19">
      <c r="A19" s="4" t="inlineStr">
        <is>
          <t>Terminal FCFF</t>
        </is>
      </c>
      <c r="B19" s="14">
        <f>F14*(1+'Market and WACC'!$B$17)</f>
        <v/>
      </c>
      <c r="C19" s="4" t="n"/>
      <c r="D19" s="4" t="n"/>
      <c r="E19" s="4" t="n"/>
      <c r="F19" s="4" t="n"/>
    </row>
    <row r="20">
      <c r="A20" s="3" t="inlineStr">
        <is>
          <t>Terminal Value</t>
        </is>
      </c>
      <c r="B20" s="13">
        <f>IF('Market and WACC'!$B$16&lt;='Market and WACC'!$B$17,NA(),B19/('Market and WACC'!$B$16-'Market and WACC'!$B$17))</f>
        <v/>
      </c>
      <c r="C20" s="3" t="n"/>
      <c r="D20" s="3" t="n"/>
      <c r="E20" s="3" t="n"/>
      <c r="F20" s="3" t="n"/>
    </row>
    <row r="21">
      <c r="A21" s="4" t="inlineStr">
        <is>
          <t>PV Terminal Value</t>
        </is>
      </c>
      <c r="B21" s="14">
        <f>B20*F15</f>
        <v/>
      </c>
      <c r="C21" s="4" t="n"/>
      <c r="D21" s="4" t="n"/>
      <c r="E21" s="4" t="n"/>
      <c r="F21" s="4" t="n"/>
    </row>
    <row r="22">
      <c r="A22" s="3" t="inlineStr">
        <is>
          <t>Enterprise Value</t>
        </is>
      </c>
      <c r="B22" s="13">
        <f>B18+B21</f>
        <v/>
      </c>
      <c r="C22" s="3" t="n"/>
      <c r="D22" s="3" t="n"/>
      <c r="E22" s="3" t="n"/>
      <c r="F22" s="3" t="n"/>
    </row>
    <row r="23">
      <c r="A23" s="4" t="inlineStr">
        <is>
          <t>Equity Value</t>
        </is>
      </c>
      <c r="B23" s="14">
        <f>B22+'Market and WACC'!B4+'Market and WACC'!B5-'Market and WACC'!B8</f>
        <v/>
      </c>
      <c r="C23" s="4" t="n"/>
      <c r="D23" s="4" t="n"/>
      <c r="E23" s="4" t="n"/>
      <c r="F23" s="4" t="n"/>
    </row>
    <row r="24">
      <c r="A24" s="3" t="inlineStr">
        <is>
          <t>Implied Price ($/share)</t>
        </is>
      </c>
      <c r="B24" s="18">
        <f>B23/'Market and WACC'!B3</f>
        <v/>
      </c>
      <c r="C24" s="3" t="n"/>
      <c r="D24" s="3" t="n"/>
      <c r="E24" s="3" t="n"/>
      <c r="F24" s="3" t="n"/>
    </row>
    <row r="25">
      <c r="A25" s="4" t="inlineStr">
        <is>
          <t>Upside / Downside</t>
        </is>
      </c>
      <c r="B25" s="7">
        <f>B24/'Market and WACC'!B2-1</f>
        <v/>
      </c>
      <c r="C25" s="4" t="n"/>
      <c r="D25" s="4" t="n"/>
      <c r="E25" s="4" t="n"/>
      <c r="F25" s="4" t="n"/>
    </row>
    <row r="26">
      <c r="A26" s="3" t="inlineStr">
        <is>
          <t>PV Terminal / EV</t>
        </is>
      </c>
      <c r="B26" s="8">
        <f>IFERROR(B21/B22,NA())</f>
        <v/>
      </c>
      <c r="C26" s="3" t="n"/>
      <c r="D26" s="3" t="n"/>
      <c r="E26" s="3" t="n"/>
      <c r="F26" s="3" t="n"/>
    </row>
  </sheetData>
  <autoFilter ref="A1:F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6" customHeight="1">
      <c r="A1" s="2" t="inlineStr">
        <is>
          <t>Metric ($M unless stated)</t>
        </is>
      </c>
      <c r="B1" s="10" t="n">
        <v>2027</v>
      </c>
      <c r="C1" s="10" t="n">
        <v>2028</v>
      </c>
      <c r="D1" s="10" t="n">
        <v>2029</v>
      </c>
      <c r="E1" s="10" t="n">
        <v>2030</v>
      </c>
      <c r="F1" s="10" t="n">
        <v>2031</v>
      </c>
    </row>
    <row r="2">
      <c r="A2" s="3" t="inlineStr">
        <is>
          <t>Revenue</t>
        </is>
      </c>
      <c r="B2" s="13">
        <f>'Historical Financials'!F2*(1+B3)</f>
        <v/>
      </c>
      <c r="C2" s="13">
        <f>B2*(1+C3)</f>
        <v/>
      </c>
      <c r="D2" s="13">
        <f>C2*(1+D3)</f>
        <v/>
      </c>
      <c r="E2" s="13">
        <f>D2*(1+E3)</f>
        <v/>
      </c>
      <c r="F2" s="13">
        <f>E2*(1+F3)</f>
        <v/>
      </c>
    </row>
    <row r="3">
      <c r="A3" s="4" t="inlineStr">
        <is>
          <t>Revenue Growth</t>
        </is>
      </c>
      <c r="B3" s="7">
        <f>'Forecast Inputs'!B2+'Scenario Inputs'!$B$3</f>
        <v/>
      </c>
      <c r="C3" s="7">
        <f>'Forecast Inputs'!C2+'Scenario Inputs'!$B$3</f>
        <v/>
      </c>
      <c r="D3" s="7">
        <f>'Forecast Inputs'!D2+'Scenario Inputs'!$B$3</f>
        <v/>
      </c>
      <c r="E3" s="7">
        <f>'Forecast Inputs'!E2+'Scenario Inputs'!$B$3</f>
        <v/>
      </c>
      <c r="F3" s="7">
        <f>'Forecast Inputs'!F2+'Scenario Inputs'!$B$3</f>
        <v/>
      </c>
    </row>
    <row r="4">
      <c r="A4" s="3" t="inlineStr">
        <is>
          <t>EBIT Margin</t>
        </is>
      </c>
      <c r="B4" s="8">
        <f>'Forecast Inputs'!B3+'Scenario Inputs'!$C$3</f>
        <v/>
      </c>
      <c r="C4" s="8">
        <f>'Forecast Inputs'!C3+'Scenario Inputs'!$C$3</f>
        <v/>
      </c>
      <c r="D4" s="8">
        <f>'Forecast Inputs'!D3+'Scenario Inputs'!$C$3</f>
        <v/>
      </c>
      <c r="E4" s="8">
        <f>'Forecast Inputs'!E3+'Scenario Inputs'!$C$3</f>
        <v/>
      </c>
      <c r="F4" s="8">
        <f>'Forecast Inputs'!F3+'Scenario Inputs'!$C$3</f>
        <v/>
      </c>
    </row>
    <row r="5">
      <c r="A5" s="4" t="inlineStr">
        <is>
          <t>EBIT</t>
        </is>
      </c>
      <c r="B5" s="14">
        <f>B2*B4</f>
        <v/>
      </c>
      <c r="C5" s="14">
        <f>C2*C4</f>
        <v/>
      </c>
      <c r="D5" s="14">
        <f>D2*D4</f>
        <v/>
      </c>
      <c r="E5" s="14">
        <f>E2*E4</f>
        <v/>
      </c>
      <c r="F5" s="14">
        <f>F2*F4</f>
        <v/>
      </c>
    </row>
    <row r="6">
      <c r="A6" s="3" t="inlineStr">
        <is>
          <t>Tax Rate</t>
        </is>
      </c>
      <c r="B6" s="8">
        <f>'Forecast Inputs'!B6</f>
        <v/>
      </c>
      <c r="C6" s="8">
        <f>'Forecast Inputs'!C6</f>
        <v/>
      </c>
      <c r="D6" s="8">
        <f>'Forecast Inputs'!D6</f>
        <v/>
      </c>
      <c r="E6" s="8">
        <f>'Forecast Inputs'!E6</f>
        <v/>
      </c>
      <c r="F6" s="8">
        <f>'Forecast Inputs'!F6</f>
        <v/>
      </c>
    </row>
    <row r="7">
      <c r="A7" s="4" t="inlineStr">
        <is>
          <t>NOPAT</t>
        </is>
      </c>
      <c r="B7" s="14">
        <f>B5*(1-B6)</f>
        <v/>
      </c>
      <c r="C7" s="14">
        <f>C5*(1-C6)</f>
        <v/>
      </c>
      <c r="D7" s="14">
        <f>D5*(1-D6)</f>
        <v/>
      </c>
      <c r="E7" s="14">
        <f>E5*(1-E6)</f>
        <v/>
      </c>
      <c r="F7" s="14">
        <f>F5*(1-F6)</f>
        <v/>
      </c>
    </row>
    <row r="8">
      <c r="A8" s="3" t="inlineStr">
        <is>
          <t>D&amp;A / Revenue</t>
        </is>
      </c>
      <c r="B8" s="8">
        <f>'Forecast Inputs'!B5</f>
        <v/>
      </c>
      <c r="C8" s="8">
        <f>'Forecast Inputs'!C5</f>
        <v/>
      </c>
      <c r="D8" s="8">
        <f>'Forecast Inputs'!D5</f>
        <v/>
      </c>
      <c r="E8" s="8">
        <f>'Forecast Inputs'!E5</f>
        <v/>
      </c>
      <c r="F8" s="8">
        <f>'Forecast Inputs'!F5</f>
        <v/>
      </c>
    </row>
    <row r="9">
      <c r="A9" s="4" t="inlineStr">
        <is>
          <t>D&amp;A</t>
        </is>
      </c>
      <c r="B9" s="14">
        <f>B2*B8</f>
        <v/>
      </c>
      <c r="C9" s="14">
        <f>C2*C8</f>
        <v/>
      </c>
      <c r="D9" s="14">
        <f>D2*D8</f>
        <v/>
      </c>
      <c r="E9" s="14">
        <f>E2*E8</f>
        <v/>
      </c>
      <c r="F9" s="14">
        <f>F2*F8</f>
        <v/>
      </c>
    </row>
    <row r="10">
      <c r="A10" s="3" t="inlineStr">
        <is>
          <t>CapEx / Revenue</t>
        </is>
      </c>
      <c r="B10" s="8">
        <f>'Forecast Inputs'!B4+'Scenario Inputs'!$D$3</f>
        <v/>
      </c>
      <c r="C10" s="8">
        <f>'Forecast Inputs'!C4+'Scenario Inputs'!$D$3</f>
        <v/>
      </c>
      <c r="D10" s="8">
        <f>'Forecast Inputs'!D4+'Scenario Inputs'!$D$3</f>
        <v/>
      </c>
      <c r="E10" s="8">
        <f>'Forecast Inputs'!E4+'Scenario Inputs'!$D$3</f>
        <v/>
      </c>
      <c r="F10" s="8">
        <f>'Forecast Inputs'!F4+'Scenario Inputs'!$D$3</f>
        <v/>
      </c>
    </row>
    <row r="11">
      <c r="A11" s="4" t="inlineStr">
        <is>
          <t>Cash CapEx</t>
        </is>
      </c>
      <c r="B11" s="14">
        <f>B2*B10</f>
        <v/>
      </c>
      <c r="C11" s="14">
        <f>C2*C10</f>
        <v/>
      </c>
      <c r="D11" s="14">
        <f>D2*D10</f>
        <v/>
      </c>
      <c r="E11" s="14">
        <f>E2*E10</f>
        <v/>
      </c>
      <c r="F11" s="14">
        <f>F2*F10</f>
        <v/>
      </c>
    </row>
    <row r="12">
      <c r="A12" s="3" t="inlineStr">
        <is>
          <t>Incremental NWC Ratio</t>
        </is>
      </c>
      <c r="B12" s="8">
        <f>'Forecast Inputs'!B7</f>
        <v/>
      </c>
      <c r="C12" s="8">
        <f>'Forecast Inputs'!C7</f>
        <v/>
      </c>
      <c r="D12" s="8">
        <f>'Forecast Inputs'!D7</f>
        <v/>
      </c>
      <c r="E12" s="8">
        <f>'Forecast Inputs'!E7</f>
        <v/>
      </c>
      <c r="F12" s="8">
        <f>'Forecast Inputs'!F7</f>
        <v/>
      </c>
    </row>
    <row r="13">
      <c r="A13" s="4" t="inlineStr">
        <is>
          <t>Change NWC</t>
        </is>
      </c>
      <c r="B13" s="14">
        <f>(B2-'Historical Financials'!F2)*B12</f>
        <v/>
      </c>
      <c r="C13" s="14">
        <f>(C2-B2)*C12</f>
        <v/>
      </c>
      <c r="D13" s="14">
        <f>(D2-C2)*D12</f>
        <v/>
      </c>
      <c r="E13" s="14">
        <f>(E2-D2)*E12</f>
        <v/>
      </c>
      <c r="F13" s="14">
        <f>(F2-E2)*F12</f>
        <v/>
      </c>
    </row>
    <row r="14">
      <c r="A14" s="3" t="inlineStr">
        <is>
          <t>FCFF</t>
        </is>
      </c>
      <c r="B14" s="13">
        <f>B7+B9-B11-B13</f>
        <v/>
      </c>
      <c r="C14" s="13">
        <f>C7+C9-C11-C13</f>
        <v/>
      </c>
      <c r="D14" s="13">
        <f>D7+D9-D11-D13</f>
        <v/>
      </c>
      <c r="E14" s="13">
        <f>E7+E9-E11-E13</f>
        <v/>
      </c>
      <c r="F14" s="13">
        <f>F7+F9-F11-F13</f>
        <v/>
      </c>
    </row>
    <row r="15">
      <c r="A15" s="4" t="inlineStr">
        <is>
          <t>Discount Factor</t>
        </is>
      </c>
      <c r="B15" s="7">
        <f>1/(1+'Market and WACC'!$B$16)^1</f>
        <v/>
      </c>
      <c r="C15" s="7">
        <f>1/(1+'Market and WACC'!$B$16)^2</f>
        <v/>
      </c>
      <c r="D15" s="7">
        <f>1/(1+'Market and WACC'!$B$16)^3</f>
        <v/>
      </c>
      <c r="E15" s="7">
        <f>1/(1+'Market and WACC'!$B$16)^4</f>
        <v/>
      </c>
      <c r="F15" s="7">
        <f>1/(1+'Market and WACC'!$B$16)^5</f>
        <v/>
      </c>
    </row>
    <row r="16">
      <c r="A16" s="3" t="inlineStr">
        <is>
          <t>PV FCFF</t>
        </is>
      </c>
      <c r="B16" s="13">
        <f>B14*B15</f>
        <v/>
      </c>
      <c r="C16" s="13">
        <f>C14*C15</f>
        <v/>
      </c>
      <c r="D16" s="13">
        <f>D14*D15</f>
        <v/>
      </c>
      <c r="E16" s="13">
        <f>E14*E15</f>
        <v/>
      </c>
      <c r="F16" s="13">
        <f>F14*F15</f>
        <v/>
      </c>
    </row>
    <row r="17">
      <c r="A17" s="4" t="n"/>
      <c r="B17" s="4" t="n"/>
      <c r="C17" s="4" t="n"/>
      <c r="D17" s="4" t="n"/>
      <c r="E17" s="4" t="n"/>
      <c r="F17" s="4" t="n"/>
    </row>
    <row r="18">
      <c r="A18" s="3" t="inlineStr">
        <is>
          <t>PV Forecast FCFF</t>
        </is>
      </c>
      <c r="B18" s="13">
        <f>SUM(B16:F16)</f>
        <v/>
      </c>
      <c r="C18" s="3" t="n"/>
      <c r="D18" s="3" t="n"/>
      <c r="E18" s="3" t="n"/>
      <c r="F18" s="3" t="n"/>
    </row>
    <row r="19">
      <c r="A19" s="4" t="inlineStr">
        <is>
          <t>Terminal FCFF</t>
        </is>
      </c>
      <c r="B19" s="14">
        <f>F14*(1+'Market and WACC'!$B$17)</f>
        <v/>
      </c>
      <c r="C19" s="4" t="n"/>
      <c r="D19" s="4" t="n"/>
      <c r="E19" s="4" t="n"/>
      <c r="F19" s="4" t="n"/>
    </row>
    <row r="20">
      <c r="A20" s="3" t="inlineStr">
        <is>
          <t>Terminal Value</t>
        </is>
      </c>
      <c r="B20" s="13">
        <f>IF('Market and WACC'!$B$16&lt;='Market and WACC'!$B$17,NA(),B19/('Market and WACC'!$B$16-'Market and WACC'!$B$17))</f>
        <v/>
      </c>
      <c r="C20" s="3" t="n"/>
      <c r="D20" s="3" t="n"/>
      <c r="E20" s="3" t="n"/>
      <c r="F20" s="3" t="n"/>
    </row>
    <row r="21">
      <c r="A21" s="4" t="inlineStr">
        <is>
          <t>PV Terminal Value</t>
        </is>
      </c>
      <c r="B21" s="14">
        <f>B20*F15</f>
        <v/>
      </c>
      <c r="C21" s="4" t="n"/>
      <c r="D21" s="4" t="n"/>
      <c r="E21" s="4" t="n"/>
      <c r="F21" s="4" t="n"/>
    </row>
    <row r="22">
      <c r="A22" s="3" t="inlineStr">
        <is>
          <t>Enterprise Value</t>
        </is>
      </c>
      <c r="B22" s="13">
        <f>B18+B21</f>
        <v/>
      </c>
      <c r="C22" s="3" t="n"/>
      <c r="D22" s="3" t="n"/>
      <c r="E22" s="3" t="n"/>
      <c r="F22" s="3" t="n"/>
    </row>
    <row r="23">
      <c r="A23" s="4" t="inlineStr">
        <is>
          <t>Equity Value</t>
        </is>
      </c>
      <c r="B23" s="14">
        <f>B22+'Market and WACC'!B4+'Market and WACC'!B5-'Market and WACC'!B8</f>
        <v/>
      </c>
      <c r="C23" s="4" t="n"/>
      <c r="D23" s="4" t="n"/>
      <c r="E23" s="4" t="n"/>
      <c r="F23" s="4" t="n"/>
    </row>
    <row r="24">
      <c r="A24" s="3" t="inlineStr">
        <is>
          <t>Implied Price ($/share)</t>
        </is>
      </c>
      <c r="B24" s="18">
        <f>B23/'Market and WACC'!B3</f>
        <v/>
      </c>
      <c r="C24" s="3" t="n"/>
      <c r="D24" s="3" t="n"/>
      <c r="E24" s="3" t="n"/>
      <c r="F24" s="3" t="n"/>
    </row>
    <row r="25">
      <c r="A25" s="4" t="inlineStr">
        <is>
          <t>Upside / Downside</t>
        </is>
      </c>
      <c r="B25" s="7">
        <f>B24/'Market and WACC'!B2-1</f>
        <v/>
      </c>
      <c r="C25" s="4" t="n"/>
      <c r="D25" s="4" t="n"/>
      <c r="E25" s="4" t="n"/>
      <c r="F25" s="4" t="n"/>
    </row>
    <row r="26">
      <c r="A26" s="3" t="inlineStr">
        <is>
          <t>PV Terminal / EV</t>
        </is>
      </c>
      <c r="B26" s="8">
        <f>IFERROR(B21/B22,NA())</f>
        <v/>
      </c>
      <c r="C26" s="3" t="n"/>
      <c r="D26" s="3" t="n"/>
      <c r="E26" s="3" t="n"/>
      <c r="F26" s="3" t="n"/>
    </row>
  </sheetData>
  <autoFilter ref="A1:F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6" customHeight="1">
      <c r="A1" s="2" t="inlineStr">
        <is>
          <t>Metric ($M unless stated)</t>
        </is>
      </c>
      <c r="B1" s="10" t="n">
        <v>2027</v>
      </c>
      <c r="C1" s="10" t="n">
        <v>2028</v>
      </c>
      <c r="D1" s="10" t="n">
        <v>2029</v>
      </c>
      <c r="E1" s="10" t="n">
        <v>2030</v>
      </c>
      <c r="F1" s="10" t="n">
        <v>2031</v>
      </c>
    </row>
    <row r="2">
      <c r="A2" s="3" t="inlineStr">
        <is>
          <t>Revenue</t>
        </is>
      </c>
      <c r="B2" s="13">
        <f>'Historical Financials'!F2*(1+B3)</f>
        <v/>
      </c>
      <c r="C2" s="13">
        <f>B2*(1+C3)</f>
        <v/>
      </c>
      <c r="D2" s="13">
        <f>C2*(1+D3)</f>
        <v/>
      </c>
      <c r="E2" s="13">
        <f>D2*(1+E3)</f>
        <v/>
      </c>
      <c r="F2" s="13">
        <f>E2*(1+F3)</f>
        <v/>
      </c>
    </row>
    <row r="3">
      <c r="A3" s="4" t="inlineStr">
        <is>
          <t>Revenue Growth</t>
        </is>
      </c>
      <c r="B3" s="7">
        <f>'Forecast Inputs'!B2+'Scenario Inputs'!$B$4</f>
        <v/>
      </c>
      <c r="C3" s="7">
        <f>'Forecast Inputs'!C2+'Scenario Inputs'!$B$4</f>
        <v/>
      </c>
      <c r="D3" s="7">
        <f>'Forecast Inputs'!D2+'Scenario Inputs'!$B$4</f>
        <v/>
      </c>
      <c r="E3" s="7">
        <f>'Forecast Inputs'!E2+'Scenario Inputs'!$B$4</f>
        <v/>
      </c>
      <c r="F3" s="7">
        <f>'Forecast Inputs'!F2+'Scenario Inputs'!$B$4</f>
        <v/>
      </c>
    </row>
    <row r="4">
      <c r="A4" s="3" t="inlineStr">
        <is>
          <t>EBIT Margin</t>
        </is>
      </c>
      <c r="B4" s="8">
        <f>'Forecast Inputs'!B3+'Scenario Inputs'!$C$4</f>
        <v/>
      </c>
      <c r="C4" s="8">
        <f>'Forecast Inputs'!C3+'Scenario Inputs'!$C$4</f>
        <v/>
      </c>
      <c r="D4" s="8">
        <f>'Forecast Inputs'!D3+'Scenario Inputs'!$C$4</f>
        <v/>
      </c>
      <c r="E4" s="8">
        <f>'Forecast Inputs'!E3+'Scenario Inputs'!$C$4</f>
        <v/>
      </c>
      <c r="F4" s="8">
        <f>'Forecast Inputs'!F3+'Scenario Inputs'!$C$4</f>
        <v/>
      </c>
    </row>
    <row r="5">
      <c r="A5" s="4" t="inlineStr">
        <is>
          <t>EBIT</t>
        </is>
      </c>
      <c r="B5" s="14">
        <f>B2*B4</f>
        <v/>
      </c>
      <c r="C5" s="14">
        <f>C2*C4</f>
        <v/>
      </c>
      <c r="D5" s="14">
        <f>D2*D4</f>
        <v/>
      </c>
      <c r="E5" s="14">
        <f>E2*E4</f>
        <v/>
      </c>
      <c r="F5" s="14">
        <f>F2*F4</f>
        <v/>
      </c>
    </row>
    <row r="6">
      <c r="A6" s="3" t="inlineStr">
        <is>
          <t>Tax Rate</t>
        </is>
      </c>
      <c r="B6" s="8">
        <f>'Forecast Inputs'!B6</f>
        <v/>
      </c>
      <c r="C6" s="8">
        <f>'Forecast Inputs'!C6</f>
        <v/>
      </c>
      <c r="D6" s="8">
        <f>'Forecast Inputs'!D6</f>
        <v/>
      </c>
      <c r="E6" s="8">
        <f>'Forecast Inputs'!E6</f>
        <v/>
      </c>
      <c r="F6" s="8">
        <f>'Forecast Inputs'!F6</f>
        <v/>
      </c>
    </row>
    <row r="7">
      <c r="A7" s="4" t="inlineStr">
        <is>
          <t>NOPAT</t>
        </is>
      </c>
      <c r="B7" s="14">
        <f>B5*(1-B6)</f>
        <v/>
      </c>
      <c r="C7" s="14">
        <f>C5*(1-C6)</f>
        <v/>
      </c>
      <c r="D7" s="14">
        <f>D5*(1-D6)</f>
        <v/>
      </c>
      <c r="E7" s="14">
        <f>E5*(1-E6)</f>
        <v/>
      </c>
      <c r="F7" s="14">
        <f>F5*(1-F6)</f>
        <v/>
      </c>
    </row>
    <row r="8">
      <c r="A8" s="3" t="inlineStr">
        <is>
          <t>D&amp;A / Revenue</t>
        </is>
      </c>
      <c r="B8" s="8">
        <f>'Forecast Inputs'!B5</f>
        <v/>
      </c>
      <c r="C8" s="8">
        <f>'Forecast Inputs'!C5</f>
        <v/>
      </c>
      <c r="D8" s="8">
        <f>'Forecast Inputs'!D5</f>
        <v/>
      </c>
      <c r="E8" s="8">
        <f>'Forecast Inputs'!E5</f>
        <v/>
      </c>
      <c r="F8" s="8">
        <f>'Forecast Inputs'!F5</f>
        <v/>
      </c>
    </row>
    <row r="9">
      <c r="A9" s="4" t="inlineStr">
        <is>
          <t>D&amp;A</t>
        </is>
      </c>
      <c r="B9" s="14">
        <f>B2*B8</f>
        <v/>
      </c>
      <c r="C9" s="14">
        <f>C2*C8</f>
        <v/>
      </c>
      <c r="D9" s="14">
        <f>D2*D8</f>
        <v/>
      </c>
      <c r="E9" s="14">
        <f>E2*E8</f>
        <v/>
      </c>
      <c r="F9" s="14">
        <f>F2*F8</f>
        <v/>
      </c>
    </row>
    <row r="10">
      <c r="A10" s="3" t="inlineStr">
        <is>
          <t>CapEx / Revenue</t>
        </is>
      </c>
      <c r="B10" s="8">
        <f>'Forecast Inputs'!B4+'Scenario Inputs'!$D$4</f>
        <v/>
      </c>
      <c r="C10" s="8">
        <f>'Forecast Inputs'!C4+'Scenario Inputs'!$D$4</f>
        <v/>
      </c>
      <c r="D10" s="8">
        <f>'Forecast Inputs'!D4+'Scenario Inputs'!$D$4</f>
        <v/>
      </c>
      <c r="E10" s="8">
        <f>'Forecast Inputs'!E4+'Scenario Inputs'!$D$4</f>
        <v/>
      </c>
      <c r="F10" s="8">
        <f>'Forecast Inputs'!F4+'Scenario Inputs'!$D$4</f>
        <v/>
      </c>
    </row>
    <row r="11">
      <c r="A11" s="4" t="inlineStr">
        <is>
          <t>Cash CapEx</t>
        </is>
      </c>
      <c r="B11" s="14">
        <f>B2*B10</f>
        <v/>
      </c>
      <c r="C11" s="14">
        <f>C2*C10</f>
        <v/>
      </c>
      <c r="D11" s="14">
        <f>D2*D10</f>
        <v/>
      </c>
      <c r="E11" s="14">
        <f>E2*E10</f>
        <v/>
      </c>
      <c r="F11" s="14">
        <f>F2*F10</f>
        <v/>
      </c>
    </row>
    <row r="12">
      <c r="A12" s="3" t="inlineStr">
        <is>
          <t>Incremental NWC Ratio</t>
        </is>
      </c>
      <c r="B12" s="8">
        <f>'Forecast Inputs'!B7</f>
        <v/>
      </c>
      <c r="C12" s="8">
        <f>'Forecast Inputs'!C7</f>
        <v/>
      </c>
      <c r="D12" s="8">
        <f>'Forecast Inputs'!D7</f>
        <v/>
      </c>
      <c r="E12" s="8">
        <f>'Forecast Inputs'!E7</f>
        <v/>
      </c>
      <c r="F12" s="8">
        <f>'Forecast Inputs'!F7</f>
        <v/>
      </c>
    </row>
    <row r="13">
      <c r="A13" s="4" t="inlineStr">
        <is>
          <t>Change NWC</t>
        </is>
      </c>
      <c r="B13" s="14">
        <f>(B2-'Historical Financials'!F2)*B12</f>
        <v/>
      </c>
      <c r="C13" s="14">
        <f>(C2-B2)*C12</f>
        <v/>
      </c>
      <c r="D13" s="14">
        <f>(D2-C2)*D12</f>
        <v/>
      </c>
      <c r="E13" s="14">
        <f>(E2-D2)*E12</f>
        <v/>
      </c>
      <c r="F13" s="14">
        <f>(F2-E2)*F12</f>
        <v/>
      </c>
    </row>
    <row r="14">
      <c r="A14" s="3" t="inlineStr">
        <is>
          <t>FCFF</t>
        </is>
      </c>
      <c r="B14" s="13">
        <f>B7+B9-B11-B13</f>
        <v/>
      </c>
      <c r="C14" s="13">
        <f>C7+C9-C11-C13</f>
        <v/>
      </c>
      <c r="D14" s="13">
        <f>D7+D9-D11-D13</f>
        <v/>
      </c>
      <c r="E14" s="13">
        <f>E7+E9-E11-E13</f>
        <v/>
      </c>
      <c r="F14" s="13">
        <f>F7+F9-F11-F13</f>
        <v/>
      </c>
    </row>
    <row r="15">
      <c r="A15" s="4" t="inlineStr">
        <is>
          <t>Discount Factor</t>
        </is>
      </c>
      <c r="B15" s="7">
        <f>1/(1+'Market and WACC'!$B$16)^1</f>
        <v/>
      </c>
      <c r="C15" s="7">
        <f>1/(1+'Market and WACC'!$B$16)^2</f>
        <v/>
      </c>
      <c r="D15" s="7">
        <f>1/(1+'Market and WACC'!$B$16)^3</f>
        <v/>
      </c>
      <c r="E15" s="7">
        <f>1/(1+'Market and WACC'!$B$16)^4</f>
        <v/>
      </c>
      <c r="F15" s="7">
        <f>1/(1+'Market and WACC'!$B$16)^5</f>
        <v/>
      </c>
    </row>
    <row r="16">
      <c r="A16" s="3" t="inlineStr">
        <is>
          <t>PV FCFF</t>
        </is>
      </c>
      <c r="B16" s="13">
        <f>B14*B15</f>
        <v/>
      </c>
      <c r="C16" s="13">
        <f>C14*C15</f>
        <v/>
      </c>
      <c r="D16" s="13">
        <f>D14*D15</f>
        <v/>
      </c>
      <c r="E16" s="13">
        <f>E14*E15</f>
        <v/>
      </c>
      <c r="F16" s="13">
        <f>F14*F15</f>
        <v/>
      </c>
    </row>
    <row r="17">
      <c r="A17" s="4" t="n"/>
      <c r="B17" s="4" t="n"/>
      <c r="C17" s="4" t="n"/>
      <c r="D17" s="4" t="n"/>
      <c r="E17" s="4" t="n"/>
      <c r="F17" s="4" t="n"/>
    </row>
    <row r="18">
      <c r="A18" s="3" t="inlineStr">
        <is>
          <t>PV Forecast FCFF</t>
        </is>
      </c>
      <c r="B18" s="13">
        <f>SUM(B16:F16)</f>
        <v/>
      </c>
      <c r="C18" s="3" t="n"/>
      <c r="D18" s="3" t="n"/>
      <c r="E18" s="3" t="n"/>
      <c r="F18" s="3" t="n"/>
    </row>
    <row r="19">
      <c r="A19" s="4" t="inlineStr">
        <is>
          <t>Terminal FCFF</t>
        </is>
      </c>
      <c r="B19" s="14">
        <f>F14*(1+'Market and WACC'!$B$17)</f>
        <v/>
      </c>
      <c r="C19" s="4" t="n"/>
      <c r="D19" s="4" t="n"/>
      <c r="E19" s="4" t="n"/>
      <c r="F19" s="4" t="n"/>
    </row>
    <row r="20">
      <c r="A20" s="3" t="inlineStr">
        <is>
          <t>Terminal Value</t>
        </is>
      </c>
      <c r="B20" s="13">
        <f>IF('Market and WACC'!$B$16&lt;='Market and WACC'!$B$17,NA(),B19/('Market and WACC'!$B$16-'Market and WACC'!$B$17))</f>
        <v/>
      </c>
      <c r="C20" s="3" t="n"/>
      <c r="D20" s="3" t="n"/>
      <c r="E20" s="3" t="n"/>
      <c r="F20" s="3" t="n"/>
    </row>
    <row r="21">
      <c r="A21" s="4" t="inlineStr">
        <is>
          <t>PV Terminal Value</t>
        </is>
      </c>
      <c r="B21" s="14">
        <f>B20*F15</f>
        <v/>
      </c>
      <c r="C21" s="4" t="n"/>
      <c r="D21" s="4" t="n"/>
      <c r="E21" s="4" t="n"/>
      <c r="F21" s="4" t="n"/>
    </row>
    <row r="22">
      <c r="A22" s="3" t="inlineStr">
        <is>
          <t>Enterprise Value</t>
        </is>
      </c>
      <c r="B22" s="13">
        <f>B18+B21</f>
        <v/>
      </c>
      <c r="C22" s="3" t="n"/>
      <c r="D22" s="3" t="n"/>
      <c r="E22" s="3" t="n"/>
      <c r="F22" s="3" t="n"/>
    </row>
    <row r="23">
      <c r="A23" s="4" t="inlineStr">
        <is>
          <t>Equity Value</t>
        </is>
      </c>
      <c r="B23" s="14">
        <f>B22+'Market and WACC'!B4+'Market and WACC'!B5-'Market and WACC'!B8</f>
        <v/>
      </c>
      <c r="C23" s="4" t="n"/>
      <c r="D23" s="4" t="n"/>
      <c r="E23" s="4" t="n"/>
      <c r="F23" s="4" t="n"/>
    </row>
    <row r="24">
      <c r="A24" s="3" t="inlineStr">
        <is>
          <t>Implied Price ($/share)</t>
        </is>
      </c>
      <c r="B24" s="18">
        <f>B23/'Market and WACC'!B3</f>
        <v/>
      </c>
      <c r="C24" s="3" t="n"/>
      <c r="D24" s="3" t="n"/>
      <c r="E24" s="3" t="n"/>
      <c r="F24" s="3" t="n"/>
    </row>
    <row r="25">
      <c r="A25" s="4" t="inlineStr">
        <is>
          <t>Upside / Downside</t>
        </is>
      </c>
      <c r="B25" s="7">
        <f>B24/'Market and WACC'!B2-1</f>
        <v/>
      </c>
      <c r="C25" s="4" t="n"/>
      <c r="D25" s="4" t="n"/>
      <c r="E25" s="4" t="n"/>
      <c r="F25" s="4" t="n"/>
    </row>
    <row r="26">
      <c r="A26" s="3" t="inlineStr">
        <is>
          <t>PV Terminal / EV</t>
        </is>
      </c>
      <c r="B26" s="8">
        <f>IFERROR(B21/B22,NA())</f>
        <v/>
      </c>
      <c r="C26" s="3" t="n"/>
      <c r="D26" s="3" t="n"/>
      <c r="E26" s="3" t="n"/>
      <c r="F26" s="3" t="n"/>
    </row>
  </sheetData>
  <autoFilter ref="A1:F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6" customHeight="1">
      <c r="A1" s="2" t="inlineStr">
        <is>
          <t>WACC / Terminal Growth</t>
        </is>
      </c>
      <c r="B1" s="19">
        <f>'Market and WACC'!$B$17-0.010</f>
        <v/>
      </c>
      <c r="C1" s="19">
        <f>'Market and WACC'!$B$17-0.005</f>
        <v/>
      </c>
      <c r="D1" s="19">
        <f>'Market and WACC'!$B$17+0.000</f>
        <v/>
      </c>
      <c r="E1" s="19">
        <f>'Market and WACC'!$B$17+0.005</f>
        <v/>
      </c>
      <c r="F1" s="19">
        <f>'Market and WACC'!$B$17+0.010</f>
        <v/>
      </c>
    </row>
    <row r="2">
      <c r="A2" s="8">
        <f>'Market and WACC'!$B$16-0.020</f>
        <v/>
      </c>
      <c r="B2" s="6">
        <f>IF($A2&lt;=B$1,NA(),(('Base DCF'!B14/(1+$A2)^1+'Base DCF'!C14/(1+$A2)^2+'Base DCF'!D14/(1+$A2)^3+'Base DCF'!E14/(1+$A2)^4+'Base DCF'!F14/(1+$A2)^5)+('Base DCF'!F14*(1+B$1)/($A2-B$1))/(1+$A2)^5+'Market and WACC'!$B$4+'Market and WACC'!$B$5-'Market and WACC'!$B$8)/'Market and WACC'!$B$3)</f>
        <v/>
      </c>
      <c r="C2" s="6">
        <f>IF($A2&lt;=C$1,NA(),(('Base DCF'!B14/(1+$A2)^1+'Base DCF'!C14/(1+$A2)^2+'Base DCF'!D14/(1+$A2)^3+'Base DCF'!E14/(1+$A2)^4+'Base DCF'!F14/(1+$A2)^5)+('Base DCF'!F14*(1+C$1)/($A2-C$1))/(1+$A2)^5+'Market and WACC'!$B$4+'Market and WACC'!$B$5-'Market and WACC'!$B$8)/'Market and WACC'!$B$3)</f>
        <v/>
      </c>
      <c r="D2" s="6">
        <f>IF($A2&lt;=D$1,NA(),(('Base DCF'!B14/(1+$A2)^1+'Base DCF'!C14/(1+$A2)^2+'Base DCF'!D14/(1+$A2)^3+'Base DCF'!E14/(1+$A2)^4+'Base DCF'!F14/(1+$A2)^5)+('Base DCF'!F14*(1+D$1)/($A2-D$1))/(1+$A2)^5+'Market and WACC'!$B$4+'Market and WACC'!$B$5-'Market and WACC'!$B$8)/'Market and WACC'!$B$3)</f>
        <v/>
      </c>
      <c r="E2" s="6">
        <f>IF($A2&lt;=E$1,NA(),(('Base DCF'!B14/(1+$A2)^1+'Base DCF'!C14/(1+$A2)^2+'Base DCF'!D14/(1+$A2)^3+'Base DCF'!E14/(1+$A2)^4+'Base DCF'!F14/(1+$A2)^5)+('Base DCF'!F14*(1+E$1)/($A2-E$1))/(1+$A2)^5+'Market and WACC'!$B$4+'Market and WACC'!$B$5-'Market and WACC'!$B$8)/'Market and WACC'!$B$3)</f>
        <v/>
      </c>
      <c r="F2" s="6">
        <f>IF($A2&lt;=F$1,NA(),(('Base DCF'!B14/(1+$A2)^1+'Base DCF'!C14/(1+$A2)^2+'Base DCF'!D14/(1+$A2)^3+'Base DCF'!E14/(1+$A2)^4+'Base DCF'!F14/(1+$A2)^5)+('Base DCF'!F14*(1+F$1)/($A2-F$1))/(1+$A2)^5+'Market and WACC'!$B$4+'Market and WACC'!$B$5-'Market and WACC'!$B$8)/'Market and WACC'!$B$3)</f>
        <v/>
      </c>
    </row>
    <row r="3">
      <c r="A3" s="7">
        <f>'Market and WACC'!$B$16-0.010</f>
        <v/>
      </c>
      <c r="B3" s="5">
        <f>IF($A3&lt;=B$1,NA(),(('Base DCF'!B14/(1+$A3)^1+'Base DCF'!C14/(1+$A3)^2+'Base DCF'!D14/(1+$A3)^3+'Base DCF'!E14/(1+$A3)^4+'Base DCF'!F14/(1+$A3)^5)+('Base DCF'!F14*(1+B$1)/($A3-B$1))/(1+$A3)^5+'Market and WACC'!$B$4+'Market and WACC'!$B$5-'Market and WACC'!$B$8)/'Market and WACC'!$B$3)</f>
        <v/>
      </c>
      <c r="C3" s="5">
        <f>IF($A3&lt;=C$1,NA(),(('Base DCF'!B14/(1+$A3)^1+'Base DCF'!C14/(1+$A3)^2+'Base DCF'!D14/(1+$A3)^3+'Base DCF'!E14/(1+$A3)^4+'Base DCF'!F14/(1+$A3)^5)+('Base DCF'!F14*(1+C$1)/($A3-C$1))/(1+$A3)^5+'Market and WACC'!$B$4+'Market and WACC'!$B$5-'Market and WACC'!$B$8)/'Market and WACC'!$B$3)</f>
        <v/>
      </c>
      <c r="D3" s="5">
        <f>IF($A3&lt;=D$1,NA(),(('Base DCF'!B14/(1+$A3)^1+'Base DCF'!C14/(1+$A3)^2+'Base DCF'!D14/(1+$A3)^3+'Base DCF'!E14/(1+$A3)^4+'Base DCF'!F14/(1+$A3)^5)+('Base DCF'!F14*(1+D$1)/($A3-D$1))/(1+$A3)^5+'Market and WACC'!$B$4+'Market and WACC'!$B$5-'Market and WACC'!$B$8)/'Market and WACC'!$B$3)</f>
        <v/>
      </c>
      <c r="E3" s="5">
        <f>IF($A3&lt;=E$1,NA(),(('Base DCF'!B14/(1+$A3)^1+'Base DCF'!C14/(1+$A3)^2+'Base DCF'!D14/(1+$A3)^3+'Base DCF'!E14/(1+$A3)^4+'Base DCF'!F14/(1+$A3)^5)+('Base DCF'!F14*(1+E$1)/($A3-E$1))/(1+$A3)^5+'Market and WACC'!$B$4+'Market and WACC'!$B$5-'Market and WACC'!$B$8)/'Market and WACC'!$B$3)</f>
        <v/>
      </c>
      <c r="F3" s="5">
        <f>IF($A3&lt;=F$1,NA(),(('Base DCF'!B14/(1+$A3)^1+'Base DCF'!C14/(1+$A3)^2+'Base DCF'!D14/(1+$A3)^3+'Base DCF'!E14/(1+$A3)^4+'Base DCF'!F14/(1+$A3)^5)+('Base DCF'!F14*(1+F$1)/($A3-F$1))/(1+$A3)^5+'Market and WACC'!$B$4+'Market and WACC'!$B$5-'Market and WACC'!$B$8)/'Market and WACC'!$B$3)</f>
        <v/>
      </c>
    </row>
    <row r="4">
      <c r="A4" s="8">
        <f>'Market and WACC'!$B$16+0.000</f>
        <v/>
      </c>
      <c r="B4" s="6">
        <f>IF($A4&lt;=B$1,NA(),(('Base DCF'!B14/(1+$A4)^1+'Base DCF'!C14/(1+$A4)^2+'Base DCF'!D14/(1+$A4)^3+'Base DCF'!E14/(1+$A4)^4+'Base DCF'!F14/(1+$A4)^5)+('Base DCF'!F14*(1+B$1)/($A4-B$1))/(1+$A4)^5+'Market and WACC'!$B$4+'Market and WACC'!$B$5-'Market and WACC'!$B$8)/'Market and WACC'!$B$3)</f>
        <v/>
      </c>
      <c r="C4" s="6">
        <f>IF($A4&lt;=C$1,NA(),(('Base DCF'!B14/(1+$A4)^1+'Base DCF'!C14/(1+$A4)^2+'Base DCF'!D14/(1+$A4)^3+'Base DCF'!E14/(1+$A4)^4+'Base DCF'!F14/(1+$A4)^5)+('Base DCF'!F14*(1+C$1)/($A4-C$1))/(1+$A4)^5+'Market and WACC'!$B$4+'Market and WACC'!$B$5-'Market and WACC'!$B$8)/'Market and WACC'!$B$3)</f>
        <v/>
      </c>
      <c r="D4" s="18">
        <f>IF($A4&lt;=D$1,NA(),(('Base DCF'!B14/(1+$A4)^1+'Base DCF'!C14/(1+$A4)^2+'Base DCF'!D14/(1+$A4)^3+'Base DCF'!E14/(1+$A4)^4+'Base DCF'!F14/(1+$A4)^5)+('Base DCF'!F14*(1+D$1)/($A4-D$1))/(1+$A4)^5+'Market and WACC'!$B$4+'Market and WACC'!$B$5-'Market and WACC'!$B$8)/'Market and WACC'!$B$3)</f>
        <v/>
      </c>
      <c r="E4" s="6">
        <f>IF($A4&lt;=E$1,NA(),(('Base DCF'!B14/(1+$A4)^1+'Base DCF'!C14/(1+$A4)^2+'Base DCF'!D14/(1+$A4)^3+'Base DCF'!E14/(1+$A4)^4+'Base DCF'!F14/(1+$A4)^5)+('Base DCF'!F14*(1+E$1)/($A4-E$1))/(1+$A4)^5+'Market and WACC'!$B$4+'Market and WACC'!$B$5-'Market and WACC'!$B$8)/'Market and WACC'!$B$3)</f>
        <v/>
      </c>
      <c r="F4" s="6">
        <f>IF($A4&lt;=F$1,NA(),(('Base DCF'!B14/(1+$A4)^1+'Base DCF'!C14/(1+$A4)^2+'Base DCF'!D14/(1+$A4)^3+'Base DCF'!E14/(1+$A4)^4+'Base DCF'!F14/(1+$A4)^5)+('Base DCF'!F14*(1+F$1)/($A4-F$1))/(1+$A4)^5+'Market and WACC'!$B$4+'Market and WACC'!$B$5-'Market and WACC'!$B$8)/'Market and WACC'!$B$3)</f>
        <v/>
      </c>
    </row>
    <row r="5">
      <c r="A5" s="7">
        <f>'Market and WACC'!$B$16+0.010</f>
        <v/>
      </c>
      <c r="B5" s="5">
        <f>IF($A5&lt;=B$1,NA(),(('Base DCF'!B14/(1+$A5)^1+'Base DCF'!C14/(1+$A5)^2+'Base DCF'!D14/(1+$A5)^3+'Base DCF'!E14/(1+$A5)^4+'Base DCF'!F14/(1+$A5)^5)+('Base DCF'!F14*(1+B$1)/($A5-B$1))/(1+$A5)^5+'Market and WACC'!$B$4+'Market and WACC'!$B$5-'Market and WACC'!$B$8)/'Market and WACC'!$B$3)</f>
        <v/>
      </c>
      <c r="C5" s="5">
        <f>IF($A5&lt;=C$1,NA(),(('Base DCF'!B14/(1+$A5)^1+'Base DCF'!C14/(1+$A5)^2+'Base DCF'!D14/(1+$A5)^3+'Base DCF'!E14/(1+$A5)^4+'Base DCF'!F14/(1+$A5)^5)+('Base DCF'!F14*(1+C$1)/($A5-C$1))/(1+$A5)^5+'Market and WACC'!$B$4+'Market and WACC'!$B$5-'Market and WACC'!$B$8)/'Market and WACC'!$B$3)</f>
        <v/>
      </c>
      <c r="D5" s="5">
        <f>IF($A5&lt;=D$1,NA(),(('Base DCF'!B14/(1+$A5)^1+'Base DCF'!C14/(1+$A5)^2+'Base DCF'!D14/(1+$A5)^3+'Base DCF'!E14/(1+$A5)^4+'Base DCF'!F14/(1+$A5)^5)+('Base DCF'!F14*(1+D$1)/($A5-D$1))/(1+$A5)^5+'Market and WACC'!$B$4+'Market and WACC'!$B$5-'Market and WACC'!$B$8)/'Market and WACC'!$B$3)</f>
        <v/>
      </c>
      <c r="E5" s="5">
        <f>IF($A5&lt;=E$1,NA(),(('Base DCF'!B14/(1+$A5)^1+'Base DCF'!C14/(1+$A5)^2+'Base DCF'!D14/(1+$A5)^3+'Base DCF'!E14/(1+$A5)^4+'Base DCF'!F14/(1+$A5)^5)+('Base DCF'!F14*(1+E$1)/($A5-E$1))/(1+$A5)^5+'Market and WACC'!$B$4+'Market and WACC'!$B$5-'Market and WACC'!$B$8)/'Market and WACC'!$B$3)</f>
        <v/>
      </c>
      <c r="F5" s="5">
        <f>IF($A5&lt;=F$1,NA(),(('Base DCF'!B14/(1+$A5)^1+'Base DCF'!C14/(1+$A5)^2+'Base DCF'!D14/(1+$A5)^3+'Base DCF'!E14/(1+$A5)^4+'Base DCF'!F14/(1+$A5)^5)+('Base DCF'!F14*(1+F$1)/($A5-F$1))/(1+$A5)^5+'Market and WACC'!$B$4+'Market and WACC'!$B$5-'Market and WACC'!$B$8)/'Market and WACC'!$B$3)</f>
        <v/>
      </c>
    </row>
    <row r="6">
      <c r="A6" s="8">
        <f>'Market and WACC'!$B$16+0.020</f>
        <v/>
      </c>
      <c r="B6" s="6">
        <f>IF($A6&lt;=B$1,NA(),(('Base DCF'!B14/(1+$A6)^1+'Base DCF'!C14/(1+$A6)^2+'Base DCF'!D14/(1+$A6)^3+'Base DCF'!E14/(1+$A6)^4+'Base DCF'!F14/(1+$A6)^5)+('Base DCF'!F14*(1+B$1)/($A6-B$1))/(1+$A6)^5+'Market and WACC'!$B$4+'Market and WACC'!$B$5-'Market and WACC'!$B$8)/'Market and WACC'!$B$3)</f>
        <v/>
      </c>
      <c r="C6" s="6">
        <f>IF($A6&lt;=C$1,NA(),(('Base DCF'!B14/(1+$A6)^1+'Base DCF'!C14/(1+$A6)^2+'Base DCF'!D14/(1+$A6)^3+'Base DCF'!E14/(1+$A6)^4+'Base DCF'!F14/(1+$A6)^5)+('Base DCF'!F14*(1+C$1)/($A6-C$1))/(1+$A6)^5+'Market and WACC'!$B$4+'Market and WACC'!$B$5-'Market and WACC'!$B$8)/'Market and WACC'!$B$3)</f>
        <v/>
      </c>
      <c r="D6" s="6">
        <f>IF($A6&lt;=D$1,NA(),(('Base DCF'!B14/(1+$A6)^1+'Base DCF'!C14/(1+$A6)^2+'Base DCF'!D14/(1+$A6)^3+'Base DCF'!E14/(1+$A6)^4+'Base DCF'!F14/(1+$A6)^5)+('Base DCF'!F14*(1+D$1)/($A6-D$1))/(1+$A6)^5+'Market and WACC'!$B$4+'Market and WACC'!$B$5-'Market and WACC'!$B$8)/'Market and WACC'!$B$3)</f>
        <v/>
      </c>
      <c r="E6" s="6">
        <f>IF($A6&lt;=E$1,NA(),(('Base DCF'!B14/(1+$A6)^1+'Base DCF'!C14/(1+$A6)^2+'Base DCF'!D14/(1+$A6)^3+'Base DCF'!E14/(1+$A6)^4+'Base DCF'!F14/(1+$A6)^5)+('Base DCF'!F14*(1+E$1)/($A6-E$1))/(1+$A6)^5+'Market and WACC'!$B$4+'Market and WACC'!$B$5-'Market and WACC'!$B$8)/'Market and WACC'!$B$3)</f>
        <v/>
      </c>
      <c r="F6" s="6">
        <f>IF($A6&lt;=F$1,NA(),(('Base DCF'!B14/(1+$A6)^1+'Base DCF'!C14/(1+$A6)^2+'Base DCF'!D14/(1+$A6)^3+'Base DCF'!E14/(1+$A6)^4+'Base DCF'!F14/(1+$A6)^5)+('Base DCF'!F14*(1+F$1)/($A6-F$1))/(1+$A6)^5+'Market and WACC'!$B$4+'Market and WACC'!$B$5-'Market and WACC'!$B$8)/'Market and WACC'!$B$3)</f>
        <v/>
      </c>
    </row>
  </sheetData>
  <autoFilter ref="A1:F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3" customWidth="1" min="2" max="2"/>
    <col width="59" customWidth="1" min="3" max="3"/>
    <col width="20" customWidth="1" min="4" max="4"/>
    <col width="33" customWidth="1" min="5" max="5"/>
    <col width="24" customWidth="1" min="6" max="6"/>
  </cols>
  <sheetData>
    <row r="1" ht="36" customHeight="1">
      <c r="A1" s="2" t="inlineStr">
        <is>
          <t>Fiscal Year</t>
        </is>
      </c>
      <c r="B1" s="2" t="inlineStr">
        <is>
          <t>Metric</t>
        </is>
      </c>
      <c r="C1" s="2" t="inlineStr">
        <is>
          <t>SEC Tag</t>
        </is>
      </c>
      <c r="D1" s="2" t="inlineStr">
        <is>
          <t>Filed</t>
        </is>
      </c>
      <c r="E1" s="2" t="inlineStr">
        <is>
          <t>Accession</t>
        </is>
      </c>
      <c r="F1" s="2" t="inlineStr">
        <is>
          <t>USD millions</t>
        </is>
      </c>
    </row>
    <row r="2">
      <c r="A2" s="20" t="n">
        <v>2022</v>
      </c>
      <c r="B2" s="3" t="inlineStr">
        <is>
          <t>Revenue</t>
        </is>
      </c>
      <c r="C2" s="3" t="inlineStr">
        <is>
          <t>RevenueFromContractWithCustomerExcludingAssessedTax</t>
        </is>
      </c>
      <c r="D2" s="3" t="inlineStr">
        <is>
          <t>2022-07-28</t>
        </is>
      </c>
      <c r="E2" s="3" t="inlineStr">
        <is>
          <t>0001564590-22-026876</t>
        </is>
      </c>
      <c r="F2" s="11" t="n">
        <v>198270</v>
      </c>
    </row>
    <row r="3">
      <c r="A3" s="21" t="n">
        <v>2022</v>
      </c>
      <c r="B3" s="4" t="inlineStr">
        <is>
          <t>Operating Income</t>
        </is>
      </c>
      <c r="C3" s="4" t="inlineStr">
        <is>
          <t>OperatingIncomeLoss</t>
        </is>
      </c>
      <c r="D3" s="4" t="inlineStr">
        <is>
          <t>2022-07-28</t>
        </is>
      </c>
      <c r="E3" s="4" t="inlineStr">
        <is>
          <t>0001564590-22-026876</t>
        </is>
      </c>
      <c r="F3" s="12" t="n">
        <v>83383</v>
      </c>
    </row>
    <row r="4">
      <c r="A4" s="20" t="n">
        <v>2022</v>
      </c>
      <c r="B4" s="3" t="inlineStr">
        <is>
          <t>Net Income</t>
        </is>
      </c>
      <c r="C4" s="3" t="inlineStr">
        <is>
          <t>NetIncomeLoss</t>
        </is>
      </c>
      <c r="D4" s="3" t="inlineStr">
        <is>
          <t>2022-07-28</t>
        </is>
      </c>
      <c r="E4" s="3" t="inlineStr">
        <is>
          <t>0001564590-22-026876</t>
        </is>
      </c>
      <c r="F4" s="11" t="n">
        <v>72738</v>
      </c>
    </row>
    <row r="5">
      <c r="A5" s="21" t="n">
        <v>2022</v>
      </c>
      <c r="B5" s="4" t="inlineStr">
        <is>
          <t>Operating Cash Flow</t>
        </is>
      </c>
      <c r="C5" s="4" t="inlineStr">
        <is>
          <t>NetCashProvidedByUsedInOperatingActivities</t>
        </is>
      </c>
      <c r="D5" s="4" t="inlineStr">
        <is>
          <t>2022-07-28</t>
        </is>
      </c>
      <c r="E5" s="4" t="inlineStr">
        <is>
          <t>0001564590-22-026876</t>
        </is>
      </c>
      <c r="F5" s="12" t="n">
        <v>89035</v>
      </c>
    </row>
    <row r="6">
      <c r="A6" s="20" t="n">
        <v>2022</v>
      </c>
      <c r="B6" s="3" t="inlineStr">
        <is>
          <t>Cash CapEx</t>
        </is>
      </c>
      <c r="C6" s="3" t="inlineStr">
        <is>
          <t>PaymentsToAcquirePropertyPlantAndEquipment</t>
        </is>
      </c>
      <c r="D6" s="3" t="inlineStr">
        <is>
          <t>2022-07-28</t>
        </is>
      </c>
      <c r="E6" s="3" t="inlineStr">
        <is>
          <t>0001564590-22-026876</t>
        </is>
      </c>
      <c r="F6" s="11" t="n">
        <v>23886</v>
      </c>
    </row>
    <row r="7">
      <c r="A7" s="21" t="n">
        <v>2023</v>
      </c>
      <c r="B7" s="4" t="inlineStr">
        <is>
          <t>Revenue</t>
        </is>
      </c>
      <c r="C7" s="4" t="inlineStr">
        <is>
          <t>RevenueFromContractWithCustomerExcludingAssessedTax</t>
        </is>
      </c>
      <c r="D7" s="4" t="inlineStr">
        <is>
          <t>2023-07-27</t>
        </is>
      </c>
      <c r="E7" s="4" t="inlineStr">
        <is>
          <t>0000950170-23-035122</t>
        </is>
      </c>
      <c r="F7" s="12" t="n">
        <v>211915</v>
      </c>
    </row>
    <row r="8">
      <c r="A8" s="20" t="n">
        <v>2023</v>
      </c>
      <c r="B8" s="3" t="inlineStr">
        <is>
          <t>Operating Income</t>
        </is>
      </c>
      <c r="C8" s="3" t="inlineStr">
        <is>
          <t>OperatingIncomeLoss</t>
        </is>
      </c>
      <c r="D8" s="3" t="inlineStr">
        <is>
          <t>2023-07-27</t>
        </is>
      </c>
      <c r="E8" s="3" t="inlineStr">
        <is>
          <t>0000950170-23-035122</t>
        </is>
      </c>
      <c r="F8" s="11" t="n">
        <v>88523</v>
      </c>
    </row>
    <row r="9">
      <c r="A9" s="21" t="n">
        <v>2023</v>
      </c>
      <c r="B9" s="4" t="inlineStr">
        <is>
          <t>Net Income</t>
        </is>
      </c>
      <c r="C9" s="4" t="inlineStr">
        <is>
          <t>NetIncomeLoss</t>
        </is>
      </c>
      <c r="D9" s="4" t="inlineStr">
        <is>
          <t>2023-07-27</t>
        </is>
      </c>
      <c r="E9" s="4" t="inlineStr">
        <is>
          <t>0000950170-23-035122</t>
        </is>
      </c>
      <c r="F9" s="12" t="n">
        <v>72361</v>
      </c>
    </row>
    <row r="10">
      <c r="A10" s="20" t="n">
        <v>2023</v>
      </c>
      <c r="B10" s="3" t="inlineStr">
        <is>
          <t>Operating Cash Flow</t>
        </is>
      </c>
      <c r="C10" s="3" t="inlineStr">
        <is>
          <t>NetCashProvidedByUsedInOperatingActivities</t>
        </is>
      </c>
      <c r="D10" s="3" t="inlineStr">
        <is>
          <t>2023-07-27</t>
        </is>
      </c>
      <c r="E10" s="3" t="inlineStr">
        <is>
          <t>0000950170-23-035122</t>
        </is>
      </c>
      <c r="F10" s="11" t="n">
        <v>87582</v>
      </c>
    </row>
    <row r="11">
      <c r="A11" s="21" t="n">
        <v>2023</v>
      </c>
      <c r="B11" s="4" t="inlineStr">
        <is>
          <t>Cash CapEx</t>
        </is>
      </c>
      <c r="C11" s="4" t="inlineStr">
        <is>
          <t>PaymentsToAcquirePropertyPlantAndEquipment</t>
        </is>
      </c>
      <c r="D11" s="4" t="inlineStr">
        <is>
          <t>2023-07-27</t>
        </is>
      </c>
      <c r="E11" s="4" t="inlineStr">
        <is>
          <t>0000950170-23-035122</t>
        </is>
      </c>
      <c r="F11" s="12" t="n">
        <v>28107</v>
      </c>
    </row>
    <row r="12">
      <c r="A12" s="20" t="n">
        <v>2024</v>
      </c>
      <c r="B12" s="3" t="inlineStr">
        <is>
          <t>Revenue</t>
        </is>
      </c>
      <c r="C12" s="3" t="inlineStr">
        <is>
          <t>RevenueFromContractWithCustomerExcludingAssessedTax</t>
        </is>
      </c>
      <c r="D12" s="3" t="inlineStr">
        <is>
          <t>2024-07-30</t>
        </is>
      </c>
      <c r="E12" s="3" t="inlineStr">
        <is>
          <t>0000950170-24-087843</t>
        </is>
      </c>
      <c r="F12" s="11" t="n">
        <v>245122</v>
      </c>
    </row>
    <row r="13">
      <c r="A13" s="21" t="n">
        <v>2024</v>
      </c>
      <c r="B13" s="4" t="inlineStr">
        <is>
          <t>Operating Income</t>
        </is>
      </c>
      <c r="C13" s="4" t="inlineStr">
        <is>
          <t>OperatingIncomeLoss</t>
        </is>
      </c>
      <c r="D13" s="4" t="inlineStr">
        <is>
          <t>2024-07-30</t>
        </is>
      </c>
      <c r="E13" s="4" t="inlineStr">
        <is>
          <t>0000950170-24-087843</t>
        </is>
      </c>
      <c r="F13" s="12" t="n">
        <v>109433</v>
      </c>
    </row>
    <row r="14">
      <c r="A14" s="20" t="n">
        <v>2024</v>
      </c>
      <c r="B14" s="3" t="inlineStr">
        <is>
          <t>Net Income</t>
        </is>
      </c>
      <c r="C14" s="3" t="inlineStr">
        <is>
          <t>NetIncomeLoss</t>
        </is>
      </c>
      <c r="D14" s="3" t="inlineStr">
        <is>
          <t>2024-07-30</t>
        </is>
      </c>
      <c r="E14" s="3" t="inlineStr">
        <is>
          <t>0000950170-24-087843</t>
        </is>
      </c>
      <c r="F14" s="11" t="n">
        <v>88136</v>
      </c>
    </row>
    <row r="15">
      <c r="A15" s="21" t="n">
        <v>2024</v>
      </c>
      <c r="B15" s="4" t="inlineStr">
        <is>
          <t>Operating Cash Flow</t>
        </is>
      </c>
      <c r="C15" s="4" t="inlineStr">
        <is>
          <t>NetCashProvidedByUsedInOperatingActivities</t>
        </is>
      </c>
      <c r="D15" s="4" t="inlineStr">
        <is>
          <t>2024-07-30</t>
        </is>
      </c>
      <c r="E15" s="4" t="inlineStr">
        <is>
          <t>0000950170-24-087843</t>
        </is>
      </c>
      <c r="F15" s="12" t="n">
        <v>118548</v>
      </c>
    </row>
    <row r="16">
      <c r="A16" s="20" t="n">
        <v>2024</v>
      </c>
      <c r="B16" s="3" t="inlineStr">
        <is>
          <t>Cash CapEx</t>
        </is>
      </c>
      <c r="C16" s="3" t="inlineStr">
        <is>
          <t>PaymentsToAcquirePropertyPlantAndEquipment</t>
        </is>
      </c>
      <c r="D16" s="3" t="inlineStr">
        <is>
          <t>2024-07-30</t>
        </is>
      </c>
      <c r="E16" s="3" t="inlineStr">
        <is>
          <t>0000950170-24-087843</t>
        </is>
      </c>
      <c r="F16" s="11" t="n">
        <v>44477</v>
      </c>
    </row>
    <row r="17">
      <c r="A17" s="21" t="n">
        <v>2025</v>
      </c>
      <c r="B17" s="4" t="inlineStr">
        <is>
          <t>Revenue</t>
        </is>
      </c>
      <c r="C17" s="4" t="inlineStr">
        <is>
          <t>RevenueFromContractWithCustomerExcludingAssessedTax</t>
        </is>
      </c>
      <c r="D17" s="4" t="inlineStr">
        <is>
          <t>2025-07-30</t>
        </is>
      </c>
      <c r="E17" s="4" t="inlineStr">
        <is>
          <t>0000950170-25-100235</t>
        </is>
      </c>
      <c r="F17" s="12" t="n">
        <v>281724</v>
      </c>
    </row>
    <row r="18">
      <c r="A18" s="20" t="n">
        <v>2025</v>
      </c>
      <c r="B18" s="3" t="inlineStr">
        <is>
          <t>Operating Income</t>
        </is>
      </c>
      <c r="C18" s="3" t="inlineStr">
        <is>
          <t>OperatingIncomeLoss</t>
        </is>
      </c>
      <c r="D18" s="3" t="inlineStr">
        <is>
          <t>2025-07-30</t>
        </is>
      </c>
      <c r="E18" s="3" t="inlineStr">
        <is>
          <t>0000950170-25-100235</t>
        </is>
      </c>
      <c r="F18" s="11" t="n">
        <v>128528</v>
      </c>
    </row>
    <row r="19">
      <c r="A19" s="21" t="n">
        <v>2025</v>
      </c>
      <c r="B19" s="4" t="inlineStr">
        <is>
          <t>Net Income</t>
        </is>
      </c>
      <c r="C19" s="4" t="inlineStr">
        <is>
          <t>NetIncomeLoss</t>
        </is>
      </c>
      <c r="D19" s="4" t="inlineStr">
        <is>
          <t>2025-07-30</t>
        </is>
      </c>
      <c r="E19" s="4" t="inlineStr">
        <is>
          <t>0000950170-25-100235</t>
        </is>
      </c>
      <c r="F19" s="12" t="n">
        <v>101832</v>
      </c>
    </row>
    <row r="20">
      <c r="A20" s="20" t="n">
        <v>2025</v>
      </c>
      <c r="B20" s="3" t="inlineStr">
        <is>
          <t>Operating Cash Flow</t>
        </is>
      </c>
      <c r="C20" s="3" t="inlineStr">
        <is>
          <t>NetCashProvidedByUsedInOperatingActivities</t>
        </is>
      </c>
      <c r="D20" s="3" t="inlineStr">
        <is>
          <t>2025-07-30</t>
        </is>
      </c>
      <c r="E20" s="3" t="inlineStr">
        <is>
          <t>0000950170-25-100235</t>
        </is>
      </c>
      <c r="F20" s="11" t="n">
        <v>136162</v>
      </c>
    </row>
    <row r="21">
      <c r="A21" s="21" t="n">
        <v>2025</v>
      </c>
      <c r="B21" s="4" t="inlineStr">
        <is>
          <t>Cash CapEx</t>
        </is>
      </c>
      <c r="C21" s="4" t="inlineStr">
        <is>
          <t>PaymentsToAcquirePropertyPlantAndEquipment</t>
        </is>
      </c>
      <c r="D21" s="4" t="inlineStr">
        <is>
          <t>2025-07-30</t>
        </is>
      </c>
      <c r="E21" s="4" t="inlineStr">
        <is>
          <t>0000950170-25-100235</t>
        </is>
      </c>
      <c r="F21" s="12" t="n">
        <v>64551</v>
      </c>
    </row>
    <row r="22">
      <c r="A22" s="20" t="n">
        <v>2026</v>
      </c>
      <c r="B22" s="3" t="inlineStr">
        <is>
          <t>Revenue</t>
        </is>
      </c>
      <c r="C22" s="3" t="inlineStr">
        <is>
          <t>RevenueFromContractWithCustomerExcludingAssessedTax</t>
        </is>
      </c>
      <c r="D22" s="3" t="inlineStr">
        <is>
          <t>2026-07-29</t>
        </is>
      </c>
      <c r="E22" s="3" t="inlineStr">
        <is>
          <t>0001193125-26-323660</t>
        </is>
      </c>
      <c r="F22" s="11" t="n">
        <v>331839</v>
      </c>
    </row>
    <row r="23">
      <c r="A23" s="21" t="n">
        <v>2026</v>
      </c>
      <c r="B23" s="4" t="inlineStr">
        <is>
          <t>Operating Income</t>
        </is>
      </c>
      <c r="C23" s="4" t="inlineStr">
        <is>
          <t>OperatingIncomeLoss</t>
        </is>
      </c>
      <c r="D23" s="4" t="inlineStr">
        <is>
          <t>2026-07-29</t>
        </is>
      </c>
      <c r="E23" s="4" t="inlineStr">
        <is>
          <t>0001193125-26-323660</t>
        </is>
      </c>
      <c r="F23" s="12" t="n">
        <v>155237</v>
      </c>
    </row>
    <row r="24">
      <c r="A24" s="20" t="n">
        <v>2026</v>
      </c>
      <c r="B24" s="3" t="inlineStr">
        <is>
          <t>Net Income</t>
        </is>
      </c>
      <c r="C24" s="3" t="inlineStr">
        <is>
          <t>NetIncomeLoss</t>
        </is>
      </c>
      <c r="D24" s="3" t="inlineStr">
        <is>
          <t>2026-07-29</t>
        </is>
      </c>
      <c r="E24" s="3" t="inlineStr">
        <is>
          <t>0001193125-26-323660</t>
        </is>
      </c>
      <c r="F24" s="11" t="n">
        <v>133749</v>
      </c>
    </row>
    <row r="25">
      <c r="A25" s="21" t="n">
        <v>2026</v>
      </c>
      <c r="B25" s="4" t="inlineStr">
        <is>
          <t>Operating Cash Flow</t>
        </is>
      </c>
      <c r="C25" s="4" t="inlineStr">
        <is>
          <t>NetCashProvidedByUsedInOperatingActivities</t>
        </is>
      </c>
      <c r="D25" s="4" t="inlineStr">
        <is>
          <t>2026-07-29</t>
        </is>
      </c>
      <c r="E25" s="4" t="inlineStr">
        <is>
          <t>0001193125-26-323660</t>
        </is>
      </c>
      <c r="F25" s="12" t="n">
        <v>182935</v>
      </c>
    </row>
    <row r="26">
      <c r="A26" s="20" t="n">
        <v>2026</v>
      </c>
      <c r="B26" s="3" t="inlineStr">
        <is>
          <t>Cash CapEx</t>
        </is>
      </c>
      <c r="C26" s="3" t="inlineStr">
        <is>
          <t>PaymentsToAcquirePropertyPlantAndEquipment</t>
        </is>
      </c>
      <c r="D26" s="3" t="inlineStr">
        <is>
          <t>2026-07-29</t>
        </is>
      </c>
      <c r="E26" s="3" t="inlineStr">
        <is>
          <t>0001193125-26-323660</t>
        </is>
      </c>
      <c r="F26" s="11" t="n">
        <v>115948</v>
      </c>
    </row>
    <row r="27">
      <c r="A27" s="21" t="n">
        <v>2026</v>
      </c>
      <c r="B27" s="4" t="inlineStr">
        <is>
          <t>Cash</t>
        </is>
      </c>
      <c r="C27" s="4" t="inlineStr">
        <is>
          <t>CashAndCashEquivalentsAtCarryingValue</t>
        </is>
      </c>
      <c r="D27" s="4" t="inlineStr">
        <is>
          <t>2026-07-29</t>
        </is>
      </c>
      <c r="E27" s="4" t="inlineStr">
        <is>
          <t>0001193125-26-323660</t>
        </is>
      </c>
      <c r="F27" s="12" t="n">
        <v>20935</v>
      </c>
    </row>
    <row r="28">
      <c r="A28" s="20" t="n">
        <v>2026</v>
      </c>
      <c r="B28" s="3" t="inlineStr">
        <is>
          <t>Short-Term Investments</t>
        </is>
      </c>
      <c r="C28" s="3" t="inlineStr">
        <is>
          <t>ShortTermInvestments</t>
        </is>
      </c>
      <c r="D28" s="3" t="inlineStr">
        <is>
          <t>2026-07-29</t>
        </is>
      </c>
      <c r="E28" s="3" t="inlineStr">
        <is>
          <t>0001193125-26-323660</t>
        </is>
      </c>
      <c r="F28" s="11" t="n">
        <v>55908</v>
      </c>
    </row>
    <row r="29">
      <c r="A29" s="21" t="n">
        <v>2026</v>
      </c>
      <c r="B29" s="4" t="inlineStr">
        <is>
          <t>Current Debt</t>
        </is>
      </c>
      <c r="C29" s="4" t="inlineStr">
        <is>
          <t>LongTermDebtCurrent</t>
        </is>
      </c>
      <c r="D29" s="4" t="inlineStr">
        <is>
          <t>2026-07-29</t>
        </is>
      </c>
      <c r="E29" s="4" t="inlineStr">
        <is>
          <t>0001193125-26-323660</t>
        </is>
      </c>
      <c r="F29" s="12" t="n">
        <v>9227</v>
      </c>
    </row>
    <row r="30">
      <c r="A30" s="20" t="n">
        <v>2026</v>
      </c>
      <c r="B30" s="3" t="inlineStr">
        <is>
          <t>Long-Term Debt</t>
        </is>
      </c>
      <c r="C30" s="3" t="inlineStr">
        <is>
          <t>LongTermDebtNoncurrent</t>
        </is>
      </c>
      <c r="D30" s="3" t="inlineStr">
        <is>
          <t>2026-07-29</t>
        </is>
      </c>
      <c r="E30" s="3" t="inlineStr">
        <is>
          <t>0001193125-26-323660</t>
        </is>
      </c>
      <c r="F30" s="11" t="n">
        <v>31067</v>
      </c>
    </row>
  </sheetData>
  <autoFilter ref="A1:F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3" customWidth="1" min="2" max="2"/>
    <col width="83" customWidth="1" min="3" max="3"/>
  </cols>
  <sheetData>
    <row r="1" ht="36" customHeight="1">
      <c r="A1" s="2" t="inlineStr">
        <is>
          <t>Accounting Item</t>
        </is>
      </c>
      <c r="B1" s="2" t="inlineStr">
        <is>
          <t>USD Millions</t>
        </is>
      </c>
      <c r="C1" s="2" t="inlineStr">
        <is>
          <t>Interpretation</t>
        </is>
      </c>
    </row>
    <row r="2">
      <c r="A2" s="3" t="inlineStr">
        <is>
          <t>FY2026 Cash PP&amp;E Purchases</t>
        </is>
      </c>
      <c r="B2" s="11" t="n">
        <v>115948</v>
      </c>
      <c r="C2" s="3" t="inlineStr">
        <is>
          <t>Cash investing outflow used in FCFF</t>
        </is>
      </c>
    </row>
    <row r="3">
      <c r="A3" s="4" t="inlineStr">
        <is>
          <t>FY2026 Reported Depreciation</t>
        </is>
      </c>
      <c r="B3" s="12" t="n">
        <v>34300</v>
      </c>
      <c r="C3" s="4" t="inlineStr">
        <is>
          <t>Not necessarily total D&amp;A</t>
        </is>
      </c>
    </row>
    <row r="4">
      <c r="A4" s="3" t="inlineStr">
        <is>
          <t>FY2026 D&amp;A and Other</t>
        </is>
      </c>
      <c r="B4" s="11" t="n">
        <v>38534</v>
      </c>
      <c r="C4" s="3" t="inlineStr">
        <is>
          <t>Broader adjustment, not pure D&amp;A</t>
        </is>
      </c>
    </row>
    <row r="5">
      <c r="A5" s="9" t="inlineStr">
        <is>
          <t>FY2026 D&amp;A Model Input</t>
        </is>
      </c>
      <c r="B5" s="22" t="n">
        <v>34300</v>
      </c>
      <c r="C5" s="9" t="inlineStr">
        <is>
          <t>Depreciation-only starting assumption</t>
        </is>
      </c>
    </row>
    <row r="6">
      <c r="A6" s="3" t="inlineStr">
        <is>
          <t>New Finance Lease ROU Assets</t>
        </is>
      </c>
      <c r="B6" s="11" t="n">
        <v>24608</v>
      </c>
      <c r="C6" s="3" t="inlineStr">
        <is>
          <t>Noncash infrastructure investment</t>
        </is>
      </c>
    </row>
    <row r="7">
      <c r="A7" s="4" t="inlineStr">
        <is>
          <t>Finance Lease Liabilities</t>
        </is>
      </c>
      <c r="B7" s="12" t="n">
        <v>66594</v>
      </c>
      <c r="C7" s="4" t="inlineStr">
        <is>
          <t>Separately disclosed lease obligation</t>
        </is>
      </c>
    </row>
    <row r="8">
      <c r="A8" s="3" t="inlineStr">
        <is>
          <t>Operating Lease Liabilities</t>
        </is>
      </c>
      <c r="B8" s="11" t="n">
        <v>21925</v>
      </c>
      <c r="C8" s="3" t="inlineStr">
        <is>
          <t>Separately disclosed lease obligation</t>
        </is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5" customWidth="1" min="1" max="1"/>
  </cols>
  <sheetData>
    <row r="1" ht="36" customHeight="1">
      <c r="A1" s="2" t="inlineStr">
        <is>
          <t>Model Methodology and Limitations</t>
        </is>
      </c>
    </row>
    <row r="2">
      <c r="A2" s="3" t="inlineStr">
        <is>
          <t>Historical financials are sourced from SEC Company Facts.</t>
        </is>
      </c>
    </row>
    <row r="3">
      <c r="A3" s="4" t="inlineStr">
        <is>
          <t>Forecasts are analyst assumptions, not Microsoft guidance.</t>
        </is>
      </c>
    </row>
    <row r="4">
      <c r="A4" s="3" t="inlineStr">
        <is>
          <t>FCFF = EBIT x (1 - tax) + D&amp;A - Cash CapEx - Change in NWC.</t>
        </is>
      </c>
    </row>
    <row r="5">
      <c r="A5" s="4" t="inlineStr">
        <is>
          <t>WACC is calculated using CAPM and market-value capital structure.</t>
        </is>
      </c>
    </row>
    <row r="6">
      <c r="A6" s="3" t="inlineStr">
        <is>
          <t>D&amp;A uses a depreciation-only starting assumption.</t>
        </is>
      </c>
    </row>
    <row r="7">
      <c r="A7" s="4" t="inlineStr">
        <is>
          <t>The D&amp;A starting value is not verified total depreciation and amortization.</t>
        </is>
      </c>
    </row>
    <row r="8">
      <c r="A8" s="3" t="inlineStr">
        <is>
          <t>Cash CapEx excludes noncash finance lease additions.</t>
        </is>
      </c>
    </row>
    <row r="9">
      <c r="A9" s="4" t="inlineStr">
        <is>
          <t>A fully lease-adjusted model requires consistent cash flow and debt treatment.</t>
        </is>
      </c>
    </row>
    <row r="10">
      <c r="A10" s="3" t="inlineStr">
        <is>
          <t>The equity bridge includes cash and short-term investments less financial debt.</t>
        </is>
      </c>
    </row>
    <row r="11">
      <c r="A11" s="4" t="inlineStr">
        <is>
          <t>Missing short-term investments are provisionally treated as zero and flagged.</t>
        </is>
      </c>
    </row>
    <row r="12">
      <c r="A12" s="3" t="inlineStr">
        <is>
          <t>Terminal value may represent a substantial portion of enterprise value.</t>
        </is>
      </c>
    </row>
    <row r="13">
      <c r="A13" s="4" t="inlineStr">
        <is>
          <t>Changing WACC or terminal growth will recalculate the Excel DCF.</t>
        </is>
      </c>
    </row>
    <row r="14">
      <c r="A14" s="3" t="inlineStr">
        <is>
          <t>Excel formulas recalculate when opened in a compatible spreadsheet application.</t>
        </is>
      </c>
    </row>
    <row r="15">
      <c r="A15" s="4" t="inlineStr">
        <is>
          <t>SEC Source: https://data.sec.gov/api/xbrl/companyfacts/CIK0000789019.json</t>
        </is>
      </c>
    </row>
    <row r="16">
      <c r="A16" s="3" t="inlineStr">
        <is>
          <t>Annual Filing: https://www.sec.gov/Archives/edgar/data/789019/000119312526323660/msft-20260630.htm</t>
        </is>
      </c>
    </row>
  </sheetData>
  <autoFilter ref="A1:A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2026-10-09T03:33:36Z</dcterms:created>
  <dcterms:modified xmlns:dcterms="http://purl.org/dc/terms/" xmlns:xsi="http://www.w3.org/2001/XMLSchema-instance" xsi:type="dcterms:W3CDTF">2026-10-09T03:33:36Z</dcterms:modified>
</cp:coreProperties>
</file>